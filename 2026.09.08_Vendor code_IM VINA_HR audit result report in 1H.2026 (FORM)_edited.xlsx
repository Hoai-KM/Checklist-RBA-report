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name="Company Profile" sheetId="1" state="visible" r:id="rId1"/>
    <sheet name="General Information" sheetId="2" state="visible" r:id="rId2"/>
    <sheet name="Checklist" sheetId="3" state="visible" r:id="rId3"/>
    <sheet name="Reference table" sheetId="4" state="visible" r:id="rId4"/>
    <sheet name="Table" sheetId="5" state="hidden" r:id="rId5"/>
  </sheets>
  <externalReferences>
    <externalReference r:id="rId6"/>
    <externalReference r:id="rId7"/>
  </externalReferences>
  <definedNames>
    <definedName name="LANGUAGE">[1]Language!$B$2:$J$86</definedName>
    <definedName name="_xlnm.Print_Area" localSheetId="1">'General Information'!$A$1:$D$31</definedName>
    <definedName name="_xlnm._FilterDatabase" localSheetId="2" hidden="1">'Checklist'!$A$5:$S$57</definedName>
    <definedName name="_xlnm.Print_Titles" localSheetId="2">'Checklist'!$1:$3</definedName>
    <definedName name="_xlnm.Print_Area" localSheetId="2">'Checklist'!$A$1:$L$57</definedName>
  </definedNames>
  <calcPr calcId="191029" fullCalcOnLoad="1"/>
</workbook>
</file>

<file path=xl/styles.xml><?xml version="1.0" encoding="utf-8"?>
<styleSheet xmlns="http://schemas.openxmlformats.org/spreadsheetml/2006/main">
  <numFmts count="7">
    <numFmt numFmtId="164" formatCode="_-* #,##0.0_-;\-* #,##0.0_-;_-* &quot;-&quot;_-;_-@_-"/>
    <numFmt numFmtId="165" formatCode="yyyy\-mm\-dd;@"/>
    <numFmt numFmtId="166" formatCode="_(&quot;$&quot;* #,##0_);_(&quot;$&quot;* \(#,##0\);_(&quot;$&quot;* &quot;-&quot;??_);_(@_)"/>
    <numFmt numFmtId="167" formatCode="_(* #,##0_);_(* \(#,##0\);_(* &quot;-&quot;??_);_(@_)"/>
    <numFmt numFmtId="168" formatCode="0.0%"/>
    <numFmt numFmtId="169" formatCode="[$-409]d\-mmm\-yyyy;@"/>
    <numFmt numFmtId="170" formatCode="_-* #,##0_-;\-* #,##0_-;_-* &quot;-&quot;_-;_-@_-"/>
  </numFmts>
  <fonts count="64">
    <font>
      <name val="Calibri"/>
      <charset val="129"/>
      <family val="2"/>
      <color theme="1"/>
      <sz val="11"/>
      <scheme val="minor"/>
    </font>
    <font>
      <name val="Calibri"/>
      <family val="2"/>
      <color theme="1"/>
      <sz val="11"/>
      <scheme val="minor"/>
    </font>
    <font>
      <name val="Calibri"/>
      <charset val="129"/>
      <family val="2"/>
      <sz val="8"/>
      <scheme val="minor"/>
    </font>
    <font>
      <name val="Arial"/>
      <family val="2"/>
      <sz val="10"/>
    </font>
    <font>
      <name val="Calibri"/>
      <family val="2"/>
      <sz val="11"/>
      <scheme val="minor"/>
    </font>
    <font>
      <name val="Calibri"/>
      <family val="2"/>
      <b val="1"/>
      <sz val="11"/>
      <scheme val="minor"/>
    </font>
    <font>
      <name val="Calibri"/>
      <charset val="129"/>
      <family val="2"/>
      <color theme="1"/>
      <sz val="11"/>
      <scheme val="minor"/>
    </font>
    <font>
      <name val="Arial"/>
      <family val="2"/>
      <b val="1"/>
      <color indexed="81"/>
      <sz val="11"/>
    </font>
    <font>
      <name val="Calibri"/>
      <charset val="129"/>
      <family val="3"/>
      <color theme="1"/>
      <sz val="11"/>
      <scheme val="minor"/>
    </font>
    <font>
      <name val="Calibri"/>
      <charset val="129"/>
      <family val="3"/>
      <sz val="11"/>
      <scheme val="minor"/>
    </font>
    <font>
      <name val="Calibri"/>
      <charset val="129"/>
      <family val="3"/>
      <b val="1"/>
      <sz val="11"/>
      <scheme val="minor"/>
    </font>
    <font>
      <name val="Calibri"/>
      <charset val="129"/>
      <family val="3"/>
      <color theme="0"/>
      <sz val="11"/>
      <scheme val="minor"/>
    </font>
    <font>
      <name val="Calibri"/>
      <family val="2"/>
      <sz val="10"/>
      <scheme val="minor"/>
    </font>
    <font>
      <name val="Calibri"/>
      <charset val="129"/>
      <family val="3"/>
      <sz val="10"/>
      <scheme val="minor"/>
    </font>
    <font>
      <name val="Calibri"/>
      <charset val="129"/>
      <family val="3"/>
      <color theme="1"/>
      <sz val="10"/>
      <scheme val="minor"/>
    </font>
    <font>
      <name val="맑은 고딕"/>
      <family val="2"/>
      <b val="1"/>
      <color rgb="FFFF0000"/>
      <sz val="11"/>
    </font>
    <font>
      <name val="Calibri"/>
      <charset val="129"/>
      <family val="3"/>
      <color rgb="FFFF0000"/>
      <sz val="11"/>
      <scheme val="minor"/>
    </font>
    <font>
      <name val="Calibri"/>
      <charset val="129"/>
      <family val="3"/>
      <b val="1"/>
      <color rgb="FFFF0000"/>
      <sz val="11"/>
      <scheme val="minor"/>
    </font>
    <font>
      <name val="Arial"/>
      <family val="2"/>
      <sz val="18"/>
    </font>
    <font>
      <name val="Arial"/>
      <family val="2"/>
      <b val="1"/>
      <color rgb="FF000000"/>
      <sz val="10"/>
    </font>
    <font>
      <name val="Arial"/>
      <family val="2"/>
      <color rgb="FF000000"/>
      <sz val="10"/>
    </font>
    <font>
      <name val="Arial"/>
      <family val="2"/>
      <color rgb="FF0000FF"/>
      <sz val="9"/>
    </font>
    <font>
      <name val="Arial"/>
      <family val="2"/>
      <b val="1"/>
      <color rgb="FF0000FF"/>
      <sz val="9"/>
    </font>
    <font>
      <name val="Arial"/>
      <family val="2"/>
      <color rgb="FF000000"/>
      <sz val="9"/>
    </font>
    <font>
      <name val="Arial"/>
      <family val="2"/>
      <b val="1"/>
      <sz val="11"/>
    </font>
    <font>
      <name val="Arial"/>
      <family val="2"/>
      <color theme="1"/>
      <sz val="11"/>
    </font>
    <font>
      <name val="Arial"/>
      <family val="2"/>
      <color theme="1"/>
      <sz val="9"/>
    </font>
    <font>
      <name val="Arial"/>
      <family val="2"/>
      <color theme="1"/>
      <sz val="9"/>
      <u val="single"/>
    </font>
    <font>
      <name val="Arial"/>
      <family val="2"/>
      <b val="1"/>
      <color theme="1"/>
      <sz val="9"/>
    </font>
    <font>
      <name val="Arial"/>
      <family val="2"/>
      <b val="1"/>
      <color rgb="FF000000"/>
      <sz val="9"/>
    </font>
    <font>
      <name val="Arial"/>
      <family val="2"/>
      <b val="1"/>
      <color theme="1"/>
      <sz val="10"/>
    </font>
    <font>
      <name val="Arial"/>
      <family val="2"/>
      <b val="1"/>
      <color theme="1"/>
      <sz val="11"/>
    </font>
    <font>
      <name val="맑은 고딕"/>
      <charset val="129"/>
      <family val="3"/>
      <color rgb="FF000000"/>
      <sz val="9"/>
    </font>
    <font>
      <name val="맑은 고딕"/>
      <charset val="129"/>
      <family val="3"/>
      <color rgb="FF000000"/>
      <sz val="8"/>
    </font>
    <font>
      <name val="맑은 고딕"/>
      <charset val="129"/>
      <family val="3"/>
      <color rgb="FFFFFFFF"/>
      <sz val="8"/>
    </font>
    <font>
      <name val="맑은 고딕"/>
      <charset val="129"/>
      <family val="3"/>
      <b val="1"/>
      <color rgb="FF000000"/>
      <sz val="10"/>
    </font>
    <font>
      <name val="맑은 고딕"/>
      <charset val="129"/>
      <family val="3"/>
      <color rgb="FFFFFFFF"/>
      <sz val="10"/>
    </font>
    <font>
      <name val="맑은 고딕"/>
      <charset val="129"/>
      <family val="3"/>
      <color rgb="FF000000"/>
      <sz val="10"/>
    </font>
    <font>
      <name val="돋움"/>
      <charset val="129"/>
      <family val="3"/>
      <color rgb="FF000000"/>
      <sz val="9"/>
    </font>
    <font>
      <name val="돋움"/>
      <charset val="129"/>
      <family val="3"/>
      <b val="1"/>
      <color theme="1"/>
      <sz val="10"/>
    </font>
    <font>
      <name val="Calibri"/>
      <charset val="129"/>
      <family val="3"/>
      <color rgb="FF0000FF"/>
      <sz val="9"/>
      <scheme val="minor"/>
    </font>
    <font>
      <name val="Calibri"/>
      <charset val="129"/>
      <family val="3"/>
      <color rgb="FF0000FF"/>
      <sz val="10"/>
      <scheme val="minor"/>
    </font>
    <font>
      <name val="Calibri"/>
      <charset val="129"/>
      <family val="3"/>
      <b val="1"/>
      <color theme="1"/>
      <sz val="11"/>
      <scheme val="minor"/>
    </font>
    <font>
      <name val="Calibri"/>
      <family val="2"/>
      <b val="1"/>
      <color theme="1"/>
      <sz val="20"/>
      <u val="single"/>
      <scheme val="minor"/>
    </font>
    <font>
      <name val="Calibri"/>
      <charset val="129"/>
      <family val="3"/>
      <b val="1"/>
      <color theme="1"/>
      <sz val="20"/>
      <u val="single"/>
      <scheme val="minor"/>
    </font>
    <font>
      <name val="Calibri"/>
      <charset val="129"/>
      <family val="3"/>
      <color theme="1"/>
      <sz val="20"/>
      <scheme val="minor"/>
    </font>
    <font>
      <name val="Calibri"/>
      <charset val="129"/>
      <family val="2"/>
      <color theme="1"/>
      <sz val="10"/>
      <scheme val="minor"/>
    </font>
    <font>
      <name val="Calibri"/>
      <family val="2"/>
      <color theme="10"/>
      <sz val="11"/>
      <u val="single"/>
      <scheme val="minor"/>
    </font>
    <font>
      <name val="Calibri"/>
      <charset val="129"/>
      <family val="2"/>
      <color theme="10"/>
      <sz val="10"/>
      <u val="single"/>
      <scheme val="minor"/>
    </font>
    <font>
      <name val="Calibri"/>
      <charset val="129"/>
      <family val="3"/>
      <color indexed="8"/>
      <sz val="10"/>
      <scheme val="minor"/>
    </font>
    <font>
      <name val="Calibri"/>
      <charset val="129"/>
      <family val="3"/>
      <b val="1"/>
      <color rgb="FF0000FF"/>
      <sz val="10"/>
      <scheme val="minor"/>
    </font>
    <font>
      <name val="Calibri"/>
      <charset val="128"/>
      <family val="3"/>
      <sz val="10"/>
      <scheme val="minor"/>
    </font>
    <font>
      <name val="Times New Roman"/>
      <family val="1"/>
      <b val="1"/>
      <color theme="1"/>
      <sz val="36"/>
    </font>
    <font>
      <name val="Times New Roman"/>
      <family val="1"/>
      <b val="1"/>
      <color theme="1"/>
      <sz val="20"/>
    </font>
    <font>
      <name val="Times New Roman"/>
      <family val="1"/>
      <color theme="1"/>
      <sz val="20"/>
    </font>
    <font>
      <name val="Calibri"/>
      <charset val="129"/>
      <family val="2"/>
      <color theme="10"/>
      <sz val="11"/>
      <u val="single"/>
      <scheme val="minor"/>
    </font>
    <font>
      <name val="Times New Roman"/>
      <family val="1"/>
      <b val="1"/>
      <color theme="1"/>
      <sz val="18"/>
    </font>
    <font>
      <name val="Times New Roman"/>
      <family val="1"/>
      <color theme="1"/>
      <sz val="18"/>
    </font>
    <font>
      <name val="Times New Roman"/>
      <family val="1"/>
      <b val="1"/>
      <color indexed="8"/>
      <sz val="20"/>
    </font>
    <font>
      <name val="Times New Roman"/>
      <family val="1"/>
      <b val="1"/>
      <color rgb="FF0070C0"/>
      <sz val="20"/>
    </font>
    <font>
      <name val="Times New Roman"/>
      <family val="1"/>
      <b val="1"/>
      <i val="1"/>
      <color theme="1"/>
      <sz val="20"/>
    </font>
    <font>
      <name val="Times New Roman"/>
      <family val="1"/>
      <color theme="1"/>
      <sz val="17"/>
    </font>
    <font>
      <name val="Times New Roman"/>
      <family val="1"/>
      <color theme="10"/>
      <sz val="18"/>
      <u val="single"/>
    </font>
    <font>
      <name val="Times New Roman"/>
      <family val="1"/>
      <color rgb="FF0000FF"/>
      <sz val="18"/>
    </font>
  </fonts>
  <fills count="20">
    <fill>
      <patternFill/>
    </fill>
    <fill>
      <patternFill patternType="gray125"/>
    </fill>
    <fill>
      <patternFill patternType="solid">
        <fgColor rgb="FFFFFF00"/>
        <bgColor indexed="64"/>
      </patternFill>
    </fill>
    <fill>
      <patternFill patternType="solid">
        <fgColor indexed="22"/>
        <bgColor indexed="64"/>
      </patternFill>
    </fill>
    <fill>
      <patternFill patternType="solid">
        <fgColor indexed="43"/>
        <bgColor indexed="64"/>
      </patternFill>
    </fill>
    <fill>
      <patternFill patternType="solid">
        <fgColor indexed="65"/>
        <bgColor indexed="64"/>
      </patternFill>
    </fill>
    <fill>
      <patternFill patternType="solid">
        <fgColor indexed="45"/>
        <bgColor indexed="64"/>
      </patternFill>
    </fill>
    <fill>
      <patternFill patternType="solid">
        <fgColor indexed="44"/>
        <bgColor indexed="64"/>
      </patternFill>
    </fill>
    <fill>
      <patternFill patternType="solid">
        <fgColor rgb="FFFFC000"/>
        <bgColor indexed="64"/>
      </patternFill>
    </fill>
    <fill>
      <patternFill patternType="solid">
        <fgColor rgb="FFFF0000"/>
        <bgColor indexed="64"/>
      </patternFill>
    </fill>
    <fill>
      <patternFill patternType="solid">
        <fgColor rgb="FFE5E0EC"/>
        <bgColor indexed="64"/>
      </patternFill>
    </fill>
    <fill>
      <patternFill patternType="solid">
        <fgColor rgb="FFF2F2F2"/>
        <bgColor indexed="64"/>
      </patternFill>
    </fill>
    <fill>
      <patternFill patternType="solid">
        <fgColor theme="8" tint="0.7999816888943144"/>
        <bgColor indexed="64"/>
      </patternFill>
    </fill>
    <fill>
      <patternFill patternType="solid">
        <fgColor rgb="FFEAEAEA"/>
        <bgColor indexed="64"/>
      </patternFill>
    </fill>
    <fill>
      <patternFill patternType="solid">
        <fgColor rgb="FF000000"/>
        <bgColor indexed="64"/>
      </patternFill>
    </fill>
    <fill>
      <patternFill patternType="solid">
        <fgColor rgb="FFC3D69B"/>
        <bgColor indexed="64"/>
      </patternFill>
    </fill>
    <fill>
      <patternFill patternType="solid">
        <fgColor theme="4" tint="0.7999816888943144"/>
        <bgColor indexed="64"/>
      </patternFill>
    </fill>
    <fill>
      <patternFill patternType="solid">
        <fgColor theme="0"/>
        <bgColor indexed="64"/>
      </patternFill>
    </fill>
    <fill>
      <patternFill patternType="solid">
        <fgColor theme="6" tint="0.7999816888943144"/>
        <bgColor indexed="64"/>
      </patternFill>
    </fill>
    <fill>
      <patternFill patternType="solid">
        <fgColor theme="4" tint="0.5999938962981048"/>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7F7F7F"/>
      </right>
      <top style="thin">
        <color rgb="FF7F7F7F"/>
      </top>
      <bottom style="thin">
        <color rgb="FF7F7F7F"/>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top/>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right style="thick">
        <color indexed="64"/>
      </right>
      <top/>
      <bottom style="thick">
        <color indexed="64"/>
      </bottom>
      <diagonal/>
    </border>
    <border>
      <left style="thin">
        <color indexed="64"/>
      </left>
      <right/>
      <top style="thin">
        <color rgb="FF7F7F7F"/>
      </top>
      <bottom style="thin">
        <color rgb="FF7F7F7F"/>
      </bottom>
      <diagonal/>
    </border>
    <border>
      <left/>
      <right/>
      <top style="thin">
        <color rgb="FF7F7F7F"/>
      </top>
      <bottom style="thin">
        <color rgb="FF7F7F7F"/>
      </bottom>
      <diagonal/>
    </border>
    <border>
      <left/>
      <right style="thin">
        <color indexed="64"/>
      </right>
      <top style="thin">
        <color rgb="FF7F7F7F"/>
      </top>
      <bottom style="thin">
        <color rgb="FF7F7F7F"/>
      </bottom>
      <diagonal/>
    </border>
    <border>
      <left style="thin">
        <color rgb="FF7F7F7F"/>
      </left>
      <right/>
      <top style="thin">
        <color rgb="FF7F7F7F"/>
      </top>
      <bottom style="thin">
        <color rgb="FF7F7F7F"/>
      </bottom>
      <diagonal/>
    </border>
    <border>
      <left/>
      <right/>
      <top/>
      <bottom style="thick">
        <color indexed="64"/>
      </bottom>
      <diagonal/>
    </border>
    <border>
      <left/>
      <right/>
      <top style="thin">
        <color indexed="64"/>
      </top>
      <bottom/>
      <diagonal/>
    </border>
    <border>
      <left style="thin">
        <color indexed="64"/>
      </left>
      <right/>
      <top style="thin">
        <color indexed="64"/>
      </top>
      <bottom style="thin">
        <color auto="1"/>
      </bottom>
      <diagonal/>
    </border>
    <border>
      <left style="thick">
        <color indexed="64"/>
      </left>
      <right style="thin">
        <color indexed="64"/>
      </right>
      <top/>
      <bottom style="thick">
        <color indexed="64"/>
      </bottom>
      <diagonal/>
    </border>
    <border>
      <left style="thin">
        <color indexed="64"/>
      </left>
      <right/>
      <top style="thin">
        <color indexed="64"/>
      </top>
      <bottom style="thick">
        <color indexed="64"/>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right/>
      <top style="thin">
        <color indexed="64"/>
      </top>
      <bottom style="thick">
        <color indexed="64"/>
      </bottom>
      <diagonal/>
    </border>
    <border>
      <left/>
      <right style="thin">
        <color rgb="FF7F7F7F"/>
      </right>
      <top style="thin">
        <color indexed="64"/>
      </top>
      <bottom style="thick">
        <color indexed="64"/>
      </bottom>
      <diagonal/>
    </border>
    <border>
      <left style="thin">
        <color rgb="FF0000FF"/>
      </left>
      <right style="thin">
        <color rgb="FF0000FF"/>
      </right>
      <top style="thin">
        <color rgb="FF0000FF"/>
      </top>
      <bottom style="thin">
        <color rgb="FF0000FF"/>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rgb="FF0000FF"/>
      </left>
      <right style="thin">
        <color rgb="FF0000FF"/>
      </right>
      <top style="thin">
        <color rgb="FF0000FF"/>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top style="thin">
        <color rgb="FF7F7F7F"/>
      </top>
      <bottom/>
      <diagonal/>
    </border>
    <border>
      <left style="thin">
        <color indexed="64"/>
      </left>
      <right style="thick">
        <color indexed="64"/>
      </right>
      <top style="thick">
        <color indexed="64"/>
      </top>
      <bottom style="thin">
        <color indexed="64"/>
      </bottom>
      <diagonal/>
    </border>
    <border>
      <left/>
      <right/>
      <top style="thick">
        <color indexed="64"/>
      </top>
      <bottom/>
      <diagonal/>
    </border>
    <border>
      <left/>
      <right style="thick">
        <color indexed="64"/>
      </right>
      <top style="thick">
        <color indexed="64"/>
      </top>
      <bottom/>
      <diagonal/>
    </border>
    <border>
      <left/>
      <right style="thin">
        <color rgb="FF7F7F7F"/>
      </right>
      <top style="thin">
        <color indexed="64"/>
      </top>
      <bottom/>
      <diagonal/>
    </border>
    <border>
      <left style="thin">
        <color indexed="64"/>
      </left>
      <right style="thin">
        <color indexed="64"/>
      </right>
      <top style="thin">
        <color rgb="FF7F7F7F"/>
      </top>
      <bottom style="thin">
        <color rgb="FF7F7F7F"/>
      </bottom>
      <diagonal/>
    </border>
    <border>
      <left/>
      <right style="thin">
        <color indexed="64"/>
      </right>
      <top style="thin">
        <color rgb="FF7F7F7F"/>
      </top>
      <bottom/>
      <diagonal/>
    </border>
  </borders>
  <cellStyleXfs count="10">
    <xf numFmtId="0" fontId="6" fillId="0" borderId="0" applyAlignment="1">
      <alignment vertical="center"/>
    </xf>
    <xf numFmtId="0" fontId="3" fillId="0" borderId="0"/>
    <xf numFmtId="9" fontId="6" fillId="0" borderId="0" applyAlignment="1">
      <alignment vertical="center"/>
    </xf>
    <xf numFmtId="0" fontId="8" fillId="0" borderId="0" applyAlignment="1">
      <alignment vertical="center"/>
    </xf>
    <xf numFmtId="170" fontId="6" fillId="0" borderId="0" applyAlignment="1">
      <alignment vertical="center"/>
    </xf>
    <xf numFmtId="0" fontId="47" fillId="0" borderId="0"/>
    <xf numFmtId="43" fontId="6" fillId="0" borderId="0"/>
    <xf numFmtId="0" fontId="55" fillId="0" borderId="0" applyAlignment="1">
      <alignment vertical="center"/>
    </xf>
    <xf numFmtId="0" fontId="6" fillId="0" borderId="0" applyAlignment="1">
      <alignment vertical="center"/>
    </xf>
    <xf numFmtId="44" fontId="6" fillId="0" borderId="0"/>
  </cellStyleXfs>
  <cellXfs count="229">
    <xf numFmtId="0" fontId="0" fillId="0" borderId="0" applyAlignment="1" pivotButton="0" quotePrefix="0" xfId="0">
      <alignment vertical="center"/>
    </xf>
    <xf numFmtId="0" fontId="4" fillId="0" borderId="0" applyAlignment="1" applyProtection="1" pivotButton="0" quotePrefix="0" xfId="0">
      <alignment horizontal="left" vertical="center"/>
      <protection locked="0" hidden="0"/>
    </xf>
    <xf numFmtId="0" fontId="4" fillId="0" borderId="0" applyAlignment="1" applyProtection="1" pivotButton="0" quotePrefix="0" xfId="0">
      <alignment horizontal="center" wrapText="1"/>
      <protection locked="0" hidden="0"/>
    </xf>
    <xf numFmtId="0" fontId="4" fillId="0" borderId="0" applyAlignment="1" applyProtection="1" pivotButton="0" quotePrefix="0" xfId="0">
      <alignment horizontal="left" vertical="top" wrapText="1"/>
      <protection locked="0" hidden="0"/>
    </xf>
    <xf numFmtId="0" fontId="4" fillId="0" borderId="0" applyAlignment="1" applyProtection="1" pivotButton="0" quotePrefix="0" xfId="0">
      <alignment wrapText="1"/>
      <protection locked="0" hidden="0"/>
    </xf>
    <xf numFmtId="0" fontId="4" fillId="0" borderId="0" applyAlignment="1" applyProtection="1" pivotButton="0" quotePrefix="0" xfId="0">
      <alignment vertical="center" wrapText="1"/>
      <protection locked="0" hidden="0"/>
    </xf>
    <xf numFmtId="0" fontId="4" fillId="0" borderId="0" applyAlignment="1" pivotButton="0" quotePrefix="0" xfId="0">
      <alignment horizontal="left" vertical="center"/>
    </xf>
    <xf numFmtId="0" fontId="8" fillId="0" borderId="0" applyAlignment="1" applyProtection="1" pivotButton="0" quotePrefix="0" xfId="0">
      <alignment horizontal="center" wrapText="1"/>
      <protection locked="0" hidden="0"/>
    </xf>
    <xf numFmtId="0" fontId="13" fillId="0" borderId="1" applyAlignment="1" applyProtection="1" pivotButton="0" quotePrefix="0" xfId="0">
      <alignment horizontal="center" vertical="center" wrapText="1"/>
      <protection locked="0" hidden="0"/>
    </xf>
    <xf numFmtId="0" fontId="13" fillId="0" borderId="1" applyAlignment="1" pivotButton="0" quotePrefix="0" xfId="0">
      <alignment horizontal="center" vertical="center" wrapText="1"/>
    </xf>
    <xf numFmtId="0" fontId="13" fillId="0" borderId="0" applyAlignment="1" applyProtection="1" pivotButton="0" quotePrefix="0" xfId="0">
      <alignment wrapText="1"/>
      <protection locked="0" hidden="0"/>
    </xf>
    <xf numFmtId="0" fontId="13" fillId="0" borderId="0" applyAlignment="1" applyProtection="1" pivotButton="0" quotePrefix="0" xfId="0">
      <alignment vertical="center"/>
      <protection locked="0" hidden="0"/>
    </xf>
    <xf numFmtId="0" fontId="13" fillId="0" borderId="0" applyProtection="1" pivotButton="0" quotePrefix="0" xfId="0">
      <protection locked="0" hidden="0"/>
    </xf>
    <xf numFmtId="0" fontId="13" fillId="6" borderId="1" applyAlignment="1" pivotButton="0" quotePrefix="0" xfId="0">
      <alignment horizontal="left" vertical="center" wrapText="1"/>
    </xf>
    <xf numFmtId="0" fontId="4" fillId="0" borderId="1" applyAlignment="1" pivotButton="0" quotePrefix="0" xfId="0">
      <alignment horizontal="center" vertical="top" wrapText="1"/>
    </xf>
    <xf numFmtId="0" fontId="9" fillId="0" borderId="1" applyAlignment="1" pivotButton="0" quotePrefix="0" xfId="0">
      <alignment horizontal="center" vertical="top" wrapText="1"/>
    </xf>
    <xf numFmtId="0" fontId="15" fillId="0" borderId="0" applyAlignment="1" applyProtection="1" pivotButton="0" quotePrefix="0" xfId="0">
      <alignment vertical="center"/>
      <protection locked="0" hidden="0"/>
    </xf>
    <xf numFmtId="0" fontId="10" fillId="3" borderId="1" applyAlignment="1" applyProtection="1" pivotButton="0" quotePrefix="0" xfId="0">
      <alignment horizontal="center" vertical="center" wrapText="1"/>
      <protection locked="0" hidden="0"/>
    </xf>
    <xf numFmtId="0" fontId="9" fillId="0" borderId="0" applyAlignment="1" applyProtection="1" pivotButton="0" quotePrefix="0" xfId="0">
      <alignment wrapText="1"/>
      <protection locked="0" hidden="0"/>
    </xf>
    <xf numFmtId="0" fontId="14" fillId="0" borderId="1" applyAlignment="1" applyProtection="1" pivotButton="0" quotePrefix="0" xfId="0">
      <alignment horizontal="center" vertical="center" wrapText="1"/>
      <protection locked="0" hidden="0"/>
    </xf>
    <xf numFmtId="0" fontId="14" fillId="0" borderId="1" applyAlignment="1" pivotButton="0" quotePrefix="0" xfId="0">
      <alignment horizontal="center" vertical="center" wrapText="1"/>
    </xf>
    <xf numFmtId="0" fontId="16" fillId="0" borderId="0" applyAlignment="1" applyProtection="1" pivotButton="0" quotePrefix="0" xfId="0">
      <alignment horizontal="center" wrapText="1"/>
      <protection locked="0" hidden="0"/>
    </xf>
    <xf numFmtId="0" fontId="11" fillId="0" borderId="0" applyAlignment="1" applyProtection="1" pivotButton="0" quotePrefix="0" xfId="0">
      <alignment horizontal="center" vertical="center"/>
      <protection locked="0" hidden="0"/>
    </xf>
    <xf numFmtId="0" fontId="11" fillId="0" borderId="0" applyAlignment="1" pivotButton="0" quotePrefix="0" xfId="0">
      <alignment horizontal="center" vertical="center"/>
    </xf>
    <xf numFmtId="0" fontId="13" fillId="7" borderId="1" applyAlignment="1" pivotButton="0" quotePrefix="0" xfId="0">
      <alignment horizontal="left" vertical="center" wrapText="1"/>
    </xf>
    <xf numFmtId="0" fontId="14" fillId="0" borderId="1" applyAlignment="1" pivotButton="0" quotePrefix="0" xfId="0">
      <alignment horizontal="left" vertical="center" wrapText="1"/>
    </xf>
    <xf numFmtId="49" fontId="14" fillId="0" borderId="1" applyAlignment="1" pivotButton="0" quotePrefix="0" xfId="0">
      <alignment horizontal="left" vertical="center" wrapText="1"/>
    </xf>
    <xf numFmtId="0" fontId="17" fillId="0" borderId="0" applyAlignment="1" applyProtection="1" pivotButton="0" quotePrefix="0" xfId="0">
      <alignment horizontal="center" vertical="center" wrapText="1"/>
      <protection locked="0" hidden="0"/>
    </xf>
    <xf numFmtId="0" fontId="26" fillId="0" borderId="3" applyAlignment="1" pivotButton="0" quotePrefix="0" xfId="0">
      <alignment horizontal="center" vertical="center" wrapText="1"/>
    </xf>
    <xf numFmtId="0" fontId="28" fillId="0" borderId="3" applyAlignment="1" pivotButton="0" quotePrefix="0" xfId="0">
      <alignment horizontal="center" vertical="center" wrapText="1"/>
    </xf>
    <xf numFmtId="0" fontId="24" fillId="12" borderId="6" applyAlignment="1" applyProtection="1" pivotButton="0" quotePrefix="0" xfId="0">
      <alignment horizontal="center" vertical="center" wrapText="1"/>
      <protection locked="0" hidden="0"/>
    </xf>
    <xf numFmtId="0" fontId="26" fillId="0" borderId="12" applyAlignment="1" pivotButton="0" quotePrefix="0" xfId="0">
      <alignment horizontal="center" vertical="center"/>
    </xf>
    <xf numFmtId="0" fontId="18" fillId="0" borderId="14" applyAlignment="1" pivotButton="0" quotePrefix="0" xfId="0">
      <alignment vertical="center" wrapText="1"/>
    </xf>
    <xf numFmtId="0" fontId="13" fillId="5" borderId="1" applyAlignment="1" applyProtection="1" pivotButton="0" quotePrefix="0" xfId="0">
      <alignment horizontal="center" vertical="center" wrapText="1"/>
      <protection locked="0" hidden="0"/>
    </xf>
    <xf numFmtId="0" fontId="28" fillId="0" borderId="0" applyAlignment="1" pivotButton="0" quotePrefix="0" xfId="0">
      <alignment horizontal="center" vertical="center" wrapText="1"/>
    </xf>
    <xf numFmtId="0" fontId="27" fillId="0" borderId="4" applyAlignment="1" pivotButton="0" quotePrefix="0" xfId="0">
      <alignment horizontal="center" vertical="center" wrapText="1"/>
    </xf>
    <xf numFmtId="0" fontId="3" fillId="0" borderId="1" applyAlignment="1" pivotButton="0" quotePrefix="0" xfId="0">
      <alignment horizontal="center" vertical="center" wrapText="1"/>
    </xf>
    <xf numFmtId="0" fontId="40" fillId="0" borderId="31" applyAlignment="1" applyProtection="1" pivotButton="0" quotePrefix="0" xfId="0">
      <alignment horizontal="center" vertical="center" wrapText="1"/>
      <protection locked="0" hidden="0"/>
    </xf>
    <xf numFmtId="0" fontId="41" fillId="0" borderId="31" applyAlignment="1" applyProtection="1" pivotButton="0" quotePrefix="0" xfId="0">
      <alignment horizontal="center" vertical="center" wrapText="1"/>
      <protection locked="0" hidden="0"/>
    </xf>
    <xf numFmtId="0" fontId="10" fillId="0" borderId="1" applyAlignment="1" applyProtection="1" pivotButton="0" quotePrefix="0" xfId="0">
      <alignment horizontal="center" vertical="center" shrinkToFit="1"/>
      <protection locked="0" hidden="0"/>
    </xf>
    <xf numFmtId="0" fontId="10" fillId="0" borderId="32" applyAlignment="1" applyProtection="1" pivotButton="0" quotePrefix="0" xfId="0">
      <alignment horizontal="center" vertical="center"/>
      <protection locked="0" hidden="0"/>
    </xf>
    <xf numFmtId="0" fontId="10" fillId="0" borderId="32" applyAlignment="1" applyProtection="1" pivotButton="0" quotePrefix="0" xfId="0">
      <alignment horizontal="center" vertical="center" shrinkToFit="1"/>
      <protection locked="0" hidden="0"/>
    </xf>
    <xf numFmtId="0" fontId="4" fillId="2" borderId="33" applyAlignment="1" applyProtection="1" pivotButton="0" quotePrefix="0" xfId="0">
      <alignment horizontal="center" vertical="center"/>
      <protection locked="0" hidden="0"/>
    </xf>
    <xf numFmtId="0" fontId="10" fillId="0" borderId="6" applyAlignment="1" applyProtection="1" pivotButton="0" quotePrefix="0" xfId="0">
      <alignment horizontal="center" vertical="center"/>
      <protection locked="0" hidden="0"/>
    </xf>
    <xf numFmtId="0" fontId="10" fillId="0" borderId="34" applyAlignment="1" applyProtection="1" pivotButton="0" quotePrefix="0" xfId="0">
      <alignment horizontal="center" vertical="center"/>
      <protection locked="0" hidden="0"/>
    </xf>
    <xf numFmtId="164" fontId="42" fillId="12" borderId="35" applyAlignment="1" pivotButton="0" quotePrefix="0" xfId="4">
      <alignment vertical="center"/>
    </xf>
    <xf numFmtId="0" fontId="10" fillId="0" borderId="36" applyAlignment="1" applyProtection="1" pivotButton="0" quotePrefix="0" xfId="0">
      <alignment horizontal="center" vertical="center"/>
      <protection locked="0" hidden="0"/>
    </xf>
    <xf numFmtId="164" fontId="10" fillId="12" borderId="37" applyAlignment="1" pivotButton="0" quotePrefix="0" xfId="4">
      <alignment horizontal="center" wrapText="1"/>
    </xf>
    <xf numFmtId="0" fontId="25" fillId="2" borderId="1" applyAlignment="1" pivotButton="0" quotePrefix="0" xfId="0">
      <alignment horizontal="center" vertical="center"/>
    </xf>
    <xf numFmtId="0" fontId="45" fillId="0" borderId="0" pivotButton="0" quotePrefix="0" xfId="0"/>
    <xf numFmtId="0" fontId="45" fillId="0" borderId="0" applyAlignment="1" pivotButton="0" quotePrefix="0" xfId="0">
      <alignment vertical="center"/>
    </xf>
    <xf numFmtId="0" fontId="46" fillId="2" borderId="1" applyAlignment="1" pivotButton="0" quotePrefix="0" xfId="0">
      <alignment horizontal="center" vertical="center" wrapText="1"/>
    </xf>
    <xf numFmtId="0" fontId="48" fillId="2" borderId="1" applyAlignment="1" pivotButton="0" quotePrefix="0" xfId="5">
      <alignment horizontal="center" vertical="center" wrapText="1"/>
    </xf>
    <xf numFmtId="0" fontId="46" fillId="16" borderId="1" applyAlignment="1" pivotButton="0" quotePrefix="0" xfId="0">
      <alignment horizontal="center" vertical="center"/>
    </xf>
    <xf numFmtId="0" fontId="46" fillId="16" borderId="32" applyAlignment="1" pivotButton="0" quotePrefix="0" xfId="0">
      <alignment horizontal="center" vertical="center"/>
    </xf>
    <xf numFmtId="0" fontId="46" fillId="2" borderId="32" applyAlignment="1" pivotButton="0" quotePrefix="0" xfId="0">
      <alignment horizontal="center" vertical="center" wrapText="1"/>
    </xf>
    <xf numFmtId="0" fontId="46" fillId="16" borderId="38" applyAlignment="1" pivotButton="0" quotePrefix="0" xfId="0">
      <alignment horizontal="center" vertical="center"/>
    </xf>
    <xf numFmtId="0" fontId="46" fillId="2" borderId="38" applyAlignment="1" pivotButton="0" quotePrefix="0" xfId="0">
      <alignment horizontal="center" vertical="center" wrapText="1"/>
    </xf>
    <xf numFmtId="0" fontId="46" fillId="16" borderId="39" applyAlignment="1" pivotButton="0" quotePrefix="0" xfId="0">
      <alignment horizontal="center" vertical="center"/>
    </xf>
    <xf numFmtId="0" fontId="46" fillId="2" borderId="39" applyAlignment="1" pivotButton="0" quotePrefix="0" xfId="0">
      <alignment horizontal="center" vertical="center" wrapText="1"/>
    </xf>
    <xf numFmtId="0" fontId="46" fillId="16" borderId="1" applyAlignment="1" pivotButton="0" quotePrefix="0" xfId="0">
      <alignment horizontal="center" vertical="center" wrapText="1"/>
    </xf>
    <xf numFmtId="0" fontId="25" fillId="0" borderId="1" applyAlignment="1" pivotButton="0" quotePrefix="0" xfId="0">
      <alignment horizontal="center" vertical="center"/>
    </xf>
    <xf numFmtId="164" fontId="25" fillId="0" borderId="1" applyAlignment="1" pivotButton="0" quotePrefix="0" xfId="4">
      <alignment horizontal="center" vertical="center"/>
    </xf>
    <xf numFmtId="164" fontId="14" fillId="0" borderId="1" applyAlignment="1" pivotButton="0" quotePrefix="0" xfId="4">
      <alignment vertical="center"/>
    </xf>
    <xf numFmtId="164" fontId="0" fillId="0" borderId="1" applyAlignment="1" pivotButton="0" quotePrefix="0" xfId="4">
      <alignment vertical="center"/>
    </xf>
    <xf numFmtId="164" fontId="25" fillId="2" borderId="1" applyAlignment="1" pivotButton="0" quotePrefix="0" xfId="4">
      <alignment horizontal="center" vertical="center"/>
    </xf>
    <xf numFmtId="0" fontId="0" fillId="0" borderId="0" applyAlignment="1" pivotButton="0" quotePrefix="0" xfId="0">
      <alignment horizontal="center" vertical="center"/>
    </xf>
    <xf numFmtId="164" fontId="0" fillId="0" borderId="0" applyAlignment="1" pivotButton="0" quotePrefix="0" xfId="4">
      <alignment vertical="center"/>
    </xf>
    <xf numFmtId="0" fontId="4" fillId="0" borderId="1" applyAlignment="1" applyProtection="1" pivotButton="0" quotePrefix="0" xfId="0">
      <alignment horizontal="center" vertical="center" wrapText="1"/>
      <protection locked="0" hidden="0"/>
    </xf>
    <xf numFmtId="0" fontId="13" fillId="0" borderId="1" applyAlignment="1" pivotButton="0" quotePrefix="0" xfId="0">
      <alignment horizontal="left" vertical="center" wrapText="1"/>
    </xf>
    <xf numFmtId="0" fontId="49" fillId="0" borderId="1" applyAlignment="1" pivotButton="0" quotePrefix="0" xfId="0">
      <alignment horizontal="left" vertical="center" wrapText="1"/>
    </xf>
    <xf numFmtId="0" fontId="13" fillId="0" borderId="1" applyAlignment="1" applyProtection="1" pivotButton="0" quotePrefix="0" xfId="0">
      <alignment horizontal="left" vertical="center" wrapText="1"/>
      <protection locked="0" hidden="0"/>
    </xf>
    <xf numFmtId="0" fontId="9" fillId="0" borderId="1" applyAlignment="1" applyProtection="1" pivotButton="0" quotePrefix="0" xfId="0">
      <alignment horizontal="left" vertical="center" wrapText="1"/>
      <protection locked="0" hidden="0"/>
    </xf>
    <xf numFmtId="0" fontId="13" fillId="0" borderId="32" applyAlignment="1" applyProtection="1" pivotButton="0" quotePrefix="0" xfId="0">
      <alignment horizontal="center" vertical="center" wrapText="1"/>
      <protection locked="0" hidden="0"/>
    </xf>
    <xf numFmtId="0" fontId="41" fillId="0" borderId="40" applyAlignment="1" applyProtection="1" pivotButton="0" quotePrefix="0" xfId="0">
      <alignment horizontal="center" vertical="center" wrapText="1"/>
      <protection locked="0" hidden="0"/>
    </xf>
    <xf numFmtId="0" fontId="14" fillId="2" borderId="1" applyAlignment="1" applyProtection="1" pivotButton="0" quotePrefix="0" xfId="0">
      <alignment horizontal="left" vertical="center" wrapText="1"/>
      <protection locked="0" hidden="0"/>
    </xf>
    <xf numFmtId="0" fontId="41" fillId="0" borderId="1" applyAlignment="1" applyProtection="1" pivotButton="0" quotePrefix="0" xfId="0">
      <alignment horizontal="center" vertical="center" wrapText="1"/>
      <protection locked="0" hidden="0"/>
    </xf>
    <xf numFmtId="0" fontId="41" fillId="0" borderId="1" applyAlignment="1" applyProtection="1" pivotButton="0" quotePrefix="0" xfId="0">
      <alignment horizontal="center" vertical="center"/>
      <protection locked="0" hidden="0"/>
    </xf>
    <xf numFmtId="0" fontId="12" fillId="4" borderId="1" applyAlignment="1" pivotButton="0" quotePrefix="0" xfId="0">
      <alignment horizontal="left" vertical="center" wrapText="1"/>
    </xf>
    <xf numFmtId="0" fontId="25" fillId="0" borderId="0" applyAlignment="1" pivotButton="0" quotePrefix="0" xfId="0">
      <alignment vertical="center"/>
    </xf>
    <xf numFmtId="0" fontId="0" fillId="0" borderId="23" applyAlignment="1" pivotButton="0" quotePrefix="0" xfId="0">
      <alignment vertical="center"/>
    </xf>
    <xf numFmtId="0" fontId="0" fillId="0" borderId="11" applyAlignment="1" pivotButton="0" quotePrefix="0" xfId="0">
      <alignment vertical="center"/>
    </xf>
    <xf numFmtId="0" fontId="32" fillId="13" borderId="2"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11" applyAlignment="1" pivotButton="0" quotePrefix="0" xfId="0">
      <alignment horizontal="center" vertical="center" wrapText="1"/>
    </xf>
    <xf numFmtId="0" fontId="20" fillId="0" borderId="2" applyAlignment="1" pivotButton="0" quotePrefix="0" xfId="0">
      <alignment horizontal="center" vertical="center" wrapText="1"/>
    </xf>
    <xf numFmtId="0" fontId="33" fillId="8" borderId="2" applyAlignment="1" pivotButton="0" quotePrefix="0" xfId="0">
      <alignment horizontal="center" vertical="center" wrapText="1"/>
    </xf>
    <xf numFmtId="0" fontId="33" fillId="9" borderId="2" applyAlignment="1" pivotButton="0" quotePrefix="0" xfId="0">
      <alignment horizontal="center" vertical="center" wrapText="1"/>
    </xf>
    <xf numFmtId="0" fontId="34" fillId="14" borderId="2" applyAlignment="1" pivotButton="0" quotePrefix="0" xfId="0">
      <alignment horizontal="center" vertical="center" wrapText="1"/>
    </xf>
    <xf numFmtId="0" fontId="34" fillId="0" borderId="0" applyAlignment="1" pivotButton="0" quotePrefix="0" xfId="0">
      <alignment horizontal="center" vertical="center" wrapText="1"/>
    </xf>
    <xf numFmtId="0" fontId="34" fillId="0" borderId="11" applyAlignment="1" pivotButton="0" quotePrefix="0" xfId="0">
      <alignment horizontal="center" vertical="center" wrapText="1"/>
    </xf>
    <xf numFmtId="0" fontId="25" fillId="0" borderId="11" applyAlignment="1" pivotButton="0" quotePrefix="0" xfId="0">
      <alignment vertical="center"/>
    </xf>
    <xf numFmtId="0" fontId="19" fillId="10" borderId="1" applyAlignment="1" pivotButton="0" quotePrefix="0" xfId="0">
      <alignment horizontal="center" vertical="center" wrapText="1"/>
    </xf>
    <xf numFmtId="0" fontId="35" fillId="11" borderId="2" applyAlignment="1" pivotButton="0" quotePrefix="0" xfId="0">
      <alignment horizontal="center" vertical="center" wrapText="1"/>
    </xf>
    <xf numFmtId="0" fontId="19" fillId="10" borderId="14" applyAlignment="1" pivotButton="0" quotePrefix="0" xfId="0">
      <alignment horizontal="center" vertical="center" wrapText="1"/>
    </xf>
    <xf numFmtId="0" fontId="20" fillId="0" borderId="1" applyAlignment="1" pivotButton="0" quotePrefix="0" xfId="0">
      <alignment horizontal="center" vertical="center" wrapText="1"/>
    </xf>
    <xf numFmtId="0" fontId="21" fillId="0" borderId="14" applyAlignment="1" pivotButton="0" quotePrefix="0" xfId="0">
      <alignment horizontal="left" vertical="center" wrapText="1"/>
    </xf>
    <xf numFmtId="0" fontId="37" fillId="15" borderId="2" applyAlignment="1" pivotButton="0" quotePrefix="0" xfId="0">
      <alignment horizontal="center" vertical="center" wrapText="1"/>
    </xf>
    <xf numFmtId="0" fontId="37" fillId="8" borderId="2" applyAlignment="1" pivotButton="0" quotePrefix="0" xfId="0">
      <alignment horizontal="center" vertical="center" wrapText="1"/>
    </xf>
    <xf numFmtId="0" fontId="37" fillId="9" borderId="2" applyAlignment="1" pivotButton="0" quotePrefix="0" xfId="0">
      <alignment horizontal="center" vertical="center" wrapText="1"/>
    </xf>
    <xf numFmtId="0" fontId="36" fillId="14" borderId="2" applyAlignment="1" pivotButton="0" quotePrefix="0" xfId="0">
      <alignment horizontal="center" vertical="center" wrapText="1"/>
    </xf>
    <xf numFmtId="0" fontId="20" fillId="0" borderId="14" applyAlignment="1" pivotButton="0" quotePrefix="0" xfId="0">
      <alignment horizontal="left" vertical="center" wrapText="1"/>
    </xf>
    <xf numFmtId="0" fontId="25" fillId="0" borderId="12" applyAlignment="1" pivotButton="0" quotePrefix="0" xfId="0">
      <alignment vertical="center"/>
    </xf>
    <xf numFmtId="0" fontId="29" fillId="11" borderId="5" applyAlignment="1" pivotButton="0" quotePrefix="0" xfId="0">
      <alignment horizontal="center" vertical="center" wrapText="1"/>
    </xf>
    <xf numFmtId="0" fontId="29" fillId="0" borderId="0" applyAlignment="1" pivotButton="0" quotePrefix="0" xfId="0">
      <alignment horizontal="center" vertical="center" wrapText="1"/>
    </xf>
    <xf numFmtId="0" fontId="23" fillId="0" borderId="5" applyAlignment="1" pivotButton="0" quotePrefix="0" xfId="0">
      <alignment horizontal="center" vertical="center" wrapText="1"/>
    </xf>
    <xf numFmtId="0" fontId="23" fillId="0" borderId="27" applyAlignment="1" pivotButton="0" quotePrefix="0" xfId="0">
      <alignment horizontal="center" vertical="center" wrapText="1"/>
    </xf>
    <xf numFmtId="0" fontId="37" fillId="15" borderId="28" applyAlignment="1" pivotButton="0" quotePrefix="0" xfId="0">
      <alignment horizontal="center" vertical="center" wrapText="1"/>
    </xf>
    <xf numFmtId="0" fontId="37" fillId="8" borderId="28" applyAlignment="1" pivotButton="0" quotePrefix="0" xfId="0">
      <alignment horizontal="center" vertical="center" wrapText="1"/>
    </xf>
    <xf numFmtId="0" fontId="37" fillId="9" borderId="28" applyAlignment="1" pivotButton="0" quotePrefix="0" xfId="0">
      <alignment horizontal="center" vertical="center" wrapText="1"/>
    </xf>
    <xf numFmtId="0" fontId="23" fillId="0" borderId="26" applyAlignment="1" pivotButton="0" quotePrefix="0" xfId="0">
      <alignment horizontal="center" vertical="center" wrapText="1"/>
    </xf>
    <xf numFmtId="0" fontId="29" fillId="0" borderId="22" applyAlignment="1" pivotButton="0" quotePrefix="0" xfId="0">
      <alignment horizontal="center" vertical="center" wrapText="1"/>
    </xf>
    <xf numFmtId="0" fontId="25" fillId="0" borderId="17" applyAlignment="1" pivotButton="0" quotePrefix="0" xfId="0">
      <alignment vertical="center"/>
    </xf>
    <xf numFmtId="9" fontId="9" fillId="0" borderId="1" applyAlignment="1" pivotButton="0" quotePrefix="0" xfId="2">
      <alignment horizontal="center" vertical="center" wrapText="1"/>
    </xf>
    <xf numFmtId="0" fontId="9" fillId="0" borderId="1" applyAlignment="1" pivotButton="0" quotePrefix="0" xfId="0">
      <alignment horizontal="center" vertical="center" wrapText="1"/>
    </xf>
    <xf numFmtId="0" fontId="4" fillId="0" borderId="0" applyAlignment="1" applyProtection="1" pivotButton="0" quotePrefix="0" xfId="0">
      <alignment horizontal="center" vertical="center" wrapText="1"/>
      <protection locked="0" hidden="0"/>
    </xf>
    <xf numFmtId="0" fontId="14" fillId="17" borderId="1" applyAlignment="1" pivotButton="0" quotePrefix="0" xfId="0">
      <alignment horizontal="left" vertical="center" wrapText="1"/>
    </xf>
    <xf numFmtId="0" fontId="13" fillId="17" borderId="1" applyAlignment="1" pivotButton="0" quotePrefix="0" xfId="0">
      <alignment horizontal="left" vertical="center" wrapText="1"/>
    </xf>
    <xf numFmtId="165" fontId="46" fillId="2" borderId="1" applyAlignment="1" pivotButton="0" quotePrefix="0" xfId="0">
      <alignment horizontal="center" vertical="center" wrapText="1"/>
    </xf>
    <xf numFmtId="0" fontId="56" fillId="0" borderId="1" applyAlignment="1" pivotButton="0" quotePrefix="0" xfId="0">
      <alignment horizontal="left" vertical="center"/>
    </xf>
    <xf numFmtId="0" fontId="56" fillId="0" borderId="1" applyAlignment="1" pivotButton="0" quotePrefix="0" xfId="0">
      <alignment horizontal="center" vertical="center" wrapText="1"/>
    </xf>
    <xf numFmtId="0" fontId="57" fillId="0" borderId="1" applyAlignment="1" pivotButton="0" quotePrefix="0" xfId="0">
      <alignment vertical="center" wrapText="1"/>
    </xf>
    <xf numFmtId="0" fontId="57" fillId="0" borderId="1" applyAlignment="1" pivotButton="0" quotePrefix="0" xfId="0">
      <alignment horizontal="center" vertical="center" wrapText="1"/>
    </xf>
    <xf numFmtId="166" fontId="57" fillId="0" borderId="4" applyAlignment="1" pivotButton="0" quotePrefix="1" xfId="9">
      <alignment horizontal="left" vertical="center"/>
    </xf>
    <xf numFmtId="167" fontId="57" fillId="0" borderId="1" applyAlignment="1" pivotButton="0" quotePrefix="0" xfId="6">
      <alignment horizontal="center" vertical="center"/>
    </xf>
    <xf numFmtId="0" fontId="56" fillId="0" borderId="1" applyAlignment="1" pivotButton="0" quotePrefix="0" xfId="0">
      <alignment horizontal="left" vertical="center" wrapText="1"/>
    </xf>
    <xf numFmtId="0" fontId="53" fillId="19" borderId="1" applyAlignment="1" pivotButton="0" quotePrefix="0" xfId="0">
      <alignment horizontal="center" vertical="center"/>
    </xf>
    <xf numFmtId="168" fontId="53" fillId="18" borderId="1" applyAlignment="1" pivotButton="0" quotePrefix="0" xfId="0">
      <alignment horizontal="center" vertical="center"/>
    </xf>
    <xf numFmtId="0" fontId="54" fillId="0" borderId="0" applyAlignment="1" pivotButton="0" quotePrefix="0" xfId="0">
      <alignment horizontal="center" vertical="center" wrapText="1"/>
    </xf>
    <xf numFmtId="0" fontId="54" fillId="0" borderId="0" applyAlignment="1" pivotButton="0" quotePrefix="0" xfId="0">
      <alignment vertical="center" wrapText="1"/>
    </xf>
    <xf numFmtId="0" fontId="54" fillId="0" borderId="0" applyAlignment="1" pivotButton="0" quotePrefix="0" xfId="0">
      <alignment horizontal="left" vertical="center"/>
    </xf>
    <xf numFmtId="0" fontId="54" fillId="0" borderId="0" applyAlignment="1" pivotButton="0" quotePrefix="0" xfId="0">
      <alignment vertical="center"/>
    </xf>
    <xf numFmtId="0" fontId="53" fillId="0" borderId="0" applyAlignment="1" pivotButton="0" quotePrefix="0" xfId="0">
      <alignment vertical="center" wrapText="1"/>
    </xf>
    <xf numFmtId="0" fontId="53" fillId="0" borderId="0" applyAlignment="1" pivotButton="0" quotePrefix="0" xfId="0">
      <alignment horizontal="right" vertical="center" wrapText="1"/>
    </xf>
    <xf numFmtId="0" fontId="60" fillId="0" borderId="0" applyAlignment="1" pivotButton="0" quotePrefix="0" xfId="0">
      <alignment vertical="center"/>
    </xf>
    <xf numFmtId="3" fontId="0" fillId="0" borderId="0" applyAlignment="1" pivotButton="0" quotePrefix="0" xfId="0">
      <alignment vertical="center"/>
    </xf>
    <xf numFmtId="167" fontId="61" fillId="0" borderId="24" applyAlignment="1" pivotButton="0" quotePrefix="1" xfId="6">
      <alignment horizontal="right" vertical="center"/>
    </xf>
    <xf numFmtId="0" fontId="57" fillId="0" borderId="1" applyAlignment="1" pivotButton="0" quotePrefix="0" xfId="0">
      <alignment horizontal="left" vertical="center"/>
    </xf>
    <xf numFmtId="0" fontId="10" fillId="2" borderId="1" applyAlignment="1" applyProtection="1" pivotButton="0" quotePrefix="0" xfId="0">
      <alignment horizontal="center" vertical="center" wrapText="1"/>
      <protection locked="0" hidden="0"/>
    </xf>
    <xf numFmtId="165" fontId="10" fillId="2" borderId="1" applyAlignment="1" applyProtection="1" pivotButton="0" quotePrefix="0" xfId="0">
      <alignment horizontal="center" vertical="center"/>
      <protection locked="0" hidden="0"/>
    </xf>
    <xf numFmtId="0" fontId="1" fillId="0" borderId="0" applyAlignment="1" applyProtection="1" pivotButton="0" quotePrefix="0" xfId="0">
      <alignment horizontal="left" vertical="center"/>
      <protection locked="0" hidden="0"/>
    </xf>
    <xf numFmtId="0" fontId="1" fillId="0" borderId="0" applyAlignment="1" pivotButton="0" quotePrefix="0" xfId="0">
      <alignment horizontal="left" vertical="center"/>
    </xf>
    <xf numFmtId="0" fontId="1" fillId="0" borderId="0" applyAlignment="1" applyProtection="1" pivotButton="0" quotePrefix="0" xfId="0">
      <alignment horizontal="center" wrapText="1"/>
      <protection locked="0" hidden="0"/>
    </xf>
    <xf numFmtId="0" fontId="5" fillId="3" borderId="1" applyAlignment="1" applyProtection="1" pivotButton="0" quotePrefix="0" xfId="0">
      <alignment horizontal="center" vertical="center" wrapText="1"/>
      <protection locked="0" hidden="0"/>
    </xf>
    <xf numFmtId="0" fontId="53" fillId="0" borderId="0" applyAlignment="1" pivotButton="0" quotePrefix="0" xfId="0">
      <alignment horizontal="center" vertical="center"/>
    </xf>
    <xf numFmtId="0" fontId="57" fillId="0" borderId="1" applyAlignment="1" pivotButton="0" quotePrefix="0" xfId="8">
      <alignment horizontal="left" vertical="center" wrapText="1"/>
    </xf>
    <xf numFmtId="0" fontId="57" fillId="0" borderId="1" applyAlignment="1" pivotButton="0" quotePrefix="0" xfId="0">
      <alignment horizontal="left" vertical="center"/>
    </xf>
    <xf numFmtId="0" fontId="53" fillId="18" borderId="32" applyAlignment="1" pivotButton="0" quotePrefix="0" xfId="0">
      <alignment horizontal="center" vertical="center"/>
    </xf>
    <xf numFmtId="0" fontId="53" fillId="18" borderId="41" applyAlignment="1" pivotButton="0" quotePrefix="0" xfId="0">
      <alignment horizontal="center" vertical="center"/>
    </xf>
    <xf numFmtId="0" fontId="53" fillId="19" borderId="24" applyAlignment="1" pivotButton="0" quotePrefix="0" xfId="0">
      <alignment horizontal="center" vertical="center"/>
    </xf>
    <xf numFmtId="0" fontId="53" fillId="19" borderId="3" applyAlignment="1" pivotButton="0" quotePrefix="0" xfId="0">
      <alignment horizontal="center" vertical="center"/>
    </xf>
    <xf numFmtId="0" fontId="53" fillId="19" borderId="4" applyAlignment="1" pivotButton="0" quotePrefix="0" xfId="0">
      <alignment horizontal="center" vertical="center"/>
    </xf>
    <xf numFmtId="0" fontId="58" fillId="19" borderId="1" applyAlignment="1" pivotButton="0" quotePrefix="0" xfId="0">
      <alignment horizontal="center" vertical="center"/>
    </xf>
    <xf numFmtId="9" fontId="59" fillId="18" borderId="3" applyAlignment="1" pivotButton="0" quotePrefix="0" xfId="0">
      <alignment horizontal="center" vertical="center"/>
    </xf>
    <xf numFmtId="9" fontId="59" fillId="18" borderId="4" applyAlignment="1" pivotButton="0" quotePrefix="0" xfId="0">
      <alignment horizontal="center" vertical="center"/>
    </xf>
    <xf numFmtId="169" fontId="53" fillId="18" borderId="1" applyAlignment="1" pivotButton="0" quotePrefix="1" xfId="0">
      <alignment horizontal="center" vertical="center"/>
    </xf>
    <xf numFmtId="0" fontId="52" fillId="0" borderId="1" applyAlignment="1" pivotButton="0" quotePrefix="0" xfId="0">
      <alignment horizontal="center" vertical="center"/>
    </xf>
    <xf numFmtId="0" fontId="56" fillId="0" borderId="1" applyAlignment="1" pivotButton="0" quotePrefix="0" xfId="0">
      <alignment horizontal="center" vertical="center"/>
    </xf>
    <xf numFmtId="9" fontId="56" fillId="0" borderId="1" applyAlignment="1" pivotButton="0" quotePrefix="1" xfId="2">
      <alignment horizontal="center" vertical="center"/>
    </xf>
    <xf numFmtId="0" fontId="56" fillId="0" borderId="1" applyAlignment="1" pivotButton="0" quotePrefix="0" xfId="0">
      <alignment horizontal="left" vertical="center"/>
    </xf>
    <xf numFmtId="0" fontId="62" fillId="0" borderId="1" applyAlignment="1" pivotButton="0" quotePrefix="1" xfId="5">
      <alignment horizontal="left" vertical="center" wrapText="1"/>
    </xf>
    <xf numFmtId="0" fontId="63" fillId="0" borderId="1" applyAlignment="1" pivotButton="0" quotePrefix="0" xfId="8">
      <alignment horizontal="left" vertical="center" wrapText="1"/>
    </xf>
    <xf numFmtId="0" fontId="57" fillId="0" borderId="1" applyAlignment="1" pivotButton="0" quotePrefix="0" xfId="0">
      <alignment horizontal="left" vertical="center" wrapText="1"/>
    </xf>
    <xf numFmtId="0" fontId="57" fillId="0" borderId="1" applyAlignment="1" pivotButton="0" quotePrefix="1" xfId="8">
      <alignment horizontal="left" vertical="center" wrapText="1"/>
    </xf>
    <xf numFmtId="0" fontId="62" fillId="0" borderId="1" applyAlignment="1" pivotButton="0" quotePrefix="0" xfId="5">
      <alignment horizontal="left" vertical="center" wrapText="1"/>
    </xf>
    <xf numFmtId="0" fontId="46" fillId="16" borderId="38" applyAlignment="1" pivotButton="0" quotePrefix="0" xfId="0">
      <alignment horizontal="center" vertical="center"/>
    </xf>
    <xf numFmtId="0" fontId="46" fillId="16" borderId="1" applyAlignment="1" pivotButton="0" quotePrefix="0" xfId="0">
      <alignment horizontal="center" vertical="center"/>
    </xf>
    <xf numFmtId="0" fontId="43" fillId="0" borderId="0" applyAlignment="1" pivotButton="0" quotePrefix="0" xfId="0">
      <alignment horizontal="left"/>
    </xf>
    <xf numFmtId="0" fontId="44" fillId="0" borderId="0" applyAlignment="1" pivotButton="0" quotePrefix="0" xfId="0">
      <alignment horizontal="left"/>
    </xf>
    <xf numFmtId="0" fontId="46" fillId="16" borderId="32" applyAlignment="1" pivotButton="0" quotePrefix="0" xfId="0">
      <alignment horizontal="center" vertical="center"/>
    </xf>
    <xf numFmtId="0" fontId="46" fillId="16" borderId="39" applyAlignment="1" pivotButton="0" quotePrefix="0" xfId="0">
      <alignment horizontal="center" vertical="center"/>
    </xf>
    <xf numFmtId="0" fontId="36" fillId="14" borderId="21" applyAlignment="1" pivotButton="0" quotePrefix="0" xfId="0">
      <alignment horizontal="center" vertical="center" wrapText="1"/>
    </xf>
    <xf numFmtId="0" fontId="36" fillId="14" borderId="19" applyAlignment="1" pivotButton="0" quotePrefix="0" xfId="0">
      <alignment horizontal="center" vertical="center" wrapText="1"/>
    </xf>
    <xf numFmtId="0" fontId="36" fillId="14" borderId="5" applyAlignment="1" pivotButton="0" quotePrefix="0" xfId="0">
      <alignment horizontal="center" vertical="center" wrapText="1"/>
    </xf>
    <xf numFmtId="0" fontId="31" fillId="12" borderId="7" applyAlignment="1" pivotButton="0" quotePrefix="0" xfId="0">
      <alignment horizontal="center" vertical="center"/>
    </xf>
    <xf numFmtId="0" fontId="31" fillId="12" borderId="8" applyAlignment="1" pivotButton="0" quotePrefix="0" xfId="0">
      <alignment horizontal="center" vertical="center"/>
    </xf>
    <xf numFmtId="0" fontId="31" fillId="12" borderId="9" applyAlignment="1" pivotButton="0" quotePrefix="0" xfId="0">
      <alignment horizontal="center" vertical="center"/>
    </xf>
    <xf numFmtId="0" fontId="25" fillId="0" borderId="13" applyAlignment="1" pivotButton="0" quotePrefix="0" xfId="0">
      <alignment horizontal="center" vertical="center"/>
    </xf>
    <xf numFmtId="0" fontId="25" fillId="0" borderId="15" applyAlignment="1" pivotButton="0" quotePrefix="0" xfId="0">
      <alignment horizontal="center" vertical="center"/>
    </xf>
    <xf numFmtId="0" fontId="25" fillId="0" borderId="25" applyAlignment="1" pivotButton="0" quotePrefix="0" xfId="0">
      <alignment horizontal="center" vertical="center"/>
    </xf>
    <xf numFmtId="0" fontId="37" fillId="15" borderId="29" applyAlignment="1" pivotButton="0" quotePrefix="0" xfId="0">
      <alignment horizontal="center" vertical="center" wrapText="1"/>
    </xf>
    <xf numFmtId="0" fontId="37" fillId="15" borderId="30" applyAlignment="1" pivotButton="0" quotePrefix="0" xfId="0">
      <alignment horizontal="center" vertical="center" wrapText="1"/>
    </xf>
    <xf numFmtId="0" fontId="25" fillId="0" borderId="16" applyAlignment="1" pivotButton="0" quotePrefix="0" xfId="0">
      <alignment horizontal="center" vertical="center"/>
    </xf>
    <xf numFmtId="0" fontId="30" fillId="0" borderId="24" applyAlignment="1" pivotButton="0" quotePrefix="0" xfId="0">
      <alignment horizontal="left" vertical="center" wrapText="1"/>
    </xf>
    <xf numFmtId="0" fontId="30" fillId="0" borderId="3" applyAlignment="1" pivotButton="0" quotePrefix="0" xfId="0">
      <alignment horizontal="left" vertical="center" wrapText="1"/>
    </xf>
    <xf numFmtId="0" fontId="25" fillId="0" borderId="10" applyAlignment="1" pivotButton="0" quotePrefix="0" xfId="0">
      <alignment horizontal="center" vertical="center"/>
    </xf>
    <xf numFmtId="0" fontId="36" fillId="14" borderId="18" applyAlignment="1" pivotButton="0" quotePrefix="0" xfId="0">
      <alignment horizontal="center" vertical="center" wrapText="1"/>
    </xf>
    <xf numFmtId="0" fontId="36" fillId="14" borderId="20" applyAlignment="1" pivotButton="0" quotePrefix="0" xfId="0">
      <alignment horizontal="center" vertical="center" wrapText="1"/>
    </xf>
    <xf numFmtId="0" fontId="37" fillId="15" borderId="18" applyAlignment="1" pivotButton="0" quotePrefix="0" xfId="0">
      <alignment horizontal="center" vertical="center" wrapText="1"/>
    </xf>
    <xf numFmtId="0" fontId="37" fillId="15" borderId="19" applyAlignment="1" pivotButton="0" quotePrefix="0" xfId="0">
      <alignment horizontal="center" vertical="center" wrapText="1"/>
    </xf>
    <xf numFmtId="0" fontId="37" fillId="15" borderId="20"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4" pivotButton="0" quotePrefix="0" xfId="0"/>
    <xf numFmtId="167" fontId="61" fillId="0" borderId="24" applyAlignment="1" pivotButton="0" quotePrefix="1" xfId="6">
      <alignment horizontal="right" vertical="center"/>
    </xf>
    <xf numFmtId="166" fontId="57" fillId="0" borderId="4" applyAlignment="1" pivotButton="0" quotePrefix="1" xfId="9">
      <alignment horizontal="left" vertical="center"/>
    </xf>
    <xf numFmtId="0" fontId="0" fillId="0" borderId="44" pivotButton="0" quotePrefix="0" xfId="0"/>
    <xf numFmtId="167" fontId="57" fillId="0" borderId="1" applyAlignment="1" pivotButton="0" quotePrefix="0" xfId="6">
      <alignment horizontal="center" vertical="center"/>
    </xf>
    <xf numFmtId="0" fontId="0" fillId="0" borderId="39" pivotButton="0" quotePrefix="0" xfId="0"/>
    <xf numFmtId="0" fontId="53" fillId="18" borderId="1" applyAlignment="1" pivotButton="0" quotePrefix="0" xfId="0">
      <alignment horizontal="center" vertical="center"/>
    </xf>
    <xf numFmtId="0" fontId="53" fillId="19" borderId="45" applyAlignment="1" pivotButton="0" quotePrefix="0" xfId="0">
      <alignment horizontal="center" vertical="center"/>
    </xf>
    <xf numFmtId="0" fontId="0" fillId="0" borderId="46" pivotButton="0" quotePrefix="0" xfId="0"/>
    <xf numFmtId="0" fontId="0" fillId="0" borderId="47" pivotButton="0" quotePrefix="0" xfId="0"/>
    <xf numFmtId="168" fontId="53" fillId="18" borderId="1" applyAlignment="1" pivotButton="0" quotePrefix="0" xfId="0">
      <alignment horizontal="center" vertical="center"/>
    </xf>
    <xf numFmtId="169" fontId="53" fillId="18" borderId="1" applyAlignment="1" pivotButton="0" quotePrefix="1" xfId="0">
      <alignment horizontal="center" vertical="center"/>
    </xf>
    <xf numFmtId="165" fontId="46" fillId="2" borderId="1" applyAlignment="1" pivotButton="0" quotePrefix="0" xfId="0">
      <alignment horizontal="center" vertical="center" wrapText="1"/>
    </xf>
    <xf numFmtId="165" fontId="10" fillId="2" borderId="1" applyAlignment="1" applyProtection="1" pivotButton="0" quotePrefix="0" xfId="0">
      <alignment horizontal="center" vertical="center"/>
      <protection locked="0" hidden="0"/>
    </xf>
    <xf numFmtId="164" fontId="10" fillId="12" borderId="37" applyAlignment="1" pivotButton="0" quotePrefix="0" xfId="4">
      <alignment horizontal="center" wrapText="1"/>
    </xf>
    <xf numFmtId="164" fontId="42" fillId="12" borderId="35" applyAlignment="1" pivotButton="0" quotePrefix="0" xfId="4">
      <alignment vertical="center"/>
    </xf>
    <xf numFmtId="0" fontId="14" fillId="2" borderId="1" applyAlignment="1" applyProtection="1" pivotButton="0" quotePrefix="0" xfId="0">
      <alignment horizontal="left" vertical="top" wrapText="1"/>
      <protection locked="0" hidden="0"/>
    </xf>
    <xf numFmtId="0" fontId="31" fillId="12" borderId="49" applyAlignment="1" pivotButton="0" quotePrefix="0" xfId="0">
      <alignment horizontal="center" vertical="center"/>
    </xf>
    <xf numFmtId="0" fontId="0" fillId="0" borderId="8" pivotButton="0" quotePrefix="0" xfId="0"/>
    <xf numFmtId="0" fontId="0" fillId="0" borderId="9" pivotButton="0" quotePrefix="0" xfId="0"/>
    <xf numFmtId="0" fontId="0" fillId="0" borderId="15" pivotButton="0" quotePrefix="0" xfId="0"/>
    <xf numFmtId="0" fontId="0" fillId="0" borderId="16" pivotButton="0" quotePrefix="0" xfId="0"/>
    <xf numFmtId="0" fontId="36" fillId="14" borderId="53" applyAlignment="1" pivotButton="0" quotePrefix="0" xfId="0">
      <alignment horizontal="center" vertical="center" wrapText="1"/>
    </xf>
    <xf numFmtId="0" fontId="0" fillId="0" borderId="19" pivotButton="0" quotePrefix="0" xfId="0"/>
    <xf numFmtId="0" fontId="0" fillId="0" borderId="20" pivotButton="0" quotePrefix="0" xfId="0"/>
    <xf numFmtId="0" fontId="37" fillId="15" borderId="53" applyAlignment="1" pivotButton="0" quotePrefix="0" xfId="0">
      <alignment horizontal="center" vertical="center" wrapText="1"/>
    </xf>
    <xf numFmtId="0" fontId="25" fillId="0" borderId="36" applyAlignment="1" pivotButton="0" quotePrefix="0" xfId="0">
      <alignment horizontal="center" vertical="center"/>
    </xf>
    <xf numFmtId="0" fontId="0" fillId="0" borderId="5" pivotButton="0" quotePrefix="0" xfId="0"/>
    <xf numFmtId="0" fontId="0" fillId="0" borderId="25" pivotButton="0" quotePrefix="0" xfId="0"/>
    <xf numFmtId="0" fontId="0" fillId="0" borderId="29" pivotButton="0" quotePrefix="0" xfId="0"/>
    <xf numFmtId="0" fontId="0" fillId="0" borderId="30" pivotButton="0" quotePrefix="0" xfId="0"/>
    <xf numFmtId="164" fontId="0" fillId="0" borderId="0" applyAlignment="1" pivotButton="0" quotePrefix="0" xfId="4">
      <alignment vertical="center"/>
    </xf>
    <xf numFmtId="164" fontId="25" fillId="0" borderId="1" applyAlignment="1" pivotButton="0" quotePrefix="0" xfId="4">
      <alignment horizontal="center" vertical="center"/>
    </xf>
    <xf numFmtId="164" fontId="14" fillId="0" borderId="1" applyAlignment="1" pivotButton="0" quotePrefix="0" xfId="4">
      <alignment vertical="center"/>
    </xf>
    <xf numFmtId="164" fontId="0" fillId="0" borderId="1" applyAlignment="1" pivotButton="0" quotePrefix="0" xfId="4">
      <alignment vertical="center"/>
    </xf>
    <xf numFmtId="164" fontId="25" fillId="2" borderId="1" applyAlignment="1" pivotButton="0" quotePrefix="0" xfId="4">
      <alignment horizontal="center" vertical="center"/>
    </xf>
  </cellXfs>
  <cellStyles count="10">
    <cellStyle name="Normal" xfId="0" builtinId="0"/>
    <cellStyle name="표준 2" xfId="1"/>
    <cellStyle name="Percent" xfId="2" builtinId="5"/>
    <cellStyle name="표준 8" xfId="3"/>
    <cellStyle name="Comma [0]" xfId="4" builtinId="6"/>
    <cellStyle name="Hyperlink" xfId="5" builtinId="8"/>
    <cellStyle name="Comma" xfId="6" builtinId="3"/>
    <cellStyle name="Hyperlink 2" xfId="7"/>
    <cellStyle name="Normal 2" xfId="8"/>
    <cellStyle name="Currency 2" xfId="9"/>
  </cellStyles>
  <dxfs count="7">
    <dxf>
      <fill>
        <patternFill>
          <bgColor theme="0" tint="-0.499984740745262"/>
        </patternFill>
      </fill>
    </dxf>
    <dxf>
      <fill>
        <patternFill>
          <bgColor theme="2" tint="-0.249946592608417"/>
        </patternFill>
      </fill>
    </dxf>
    <dxf>
      <fill>
        <gradientFill type="path" left="0.5" right="0.5" top="0.5" bottom="0.5">
          <stop position="0">
            <color theme="0"/>
          </stop>
          <stop position="1">
            <color rgb="FFFF0000"/>
          </stop>
        </gradientFill>
      </fill>
    </dxf>
    <dxf>
      <fill>
        <patternFill>
          <bgColor rgb="FFFF0000"/>
        </patternFill>
      </fill>
    </dxf>
    <dxf>
      <fill>
        <patternFill>
          <bgColor theme="9" tint="-0.249946592608417"/>
        </patternFill>
      </fill>
    </dxf>
    <dxf>
      <fill>
        <patternFill>
          <bgColor rgb="FFFFFF0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externalLink" Target="/xl/externalLinks/externalLink2.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Patrick Neyts</author>
  </authors>
  <commentList>
    <comment ref="D5" authorId="0" shapeId="0">
      <text>
        <t>If a change is made from the initial rating then please provide justification as per the guidance in the instructions</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6</col>
      <colOff>1061357</colOff>
      <row>0</row>
      <rowOff>81643</rowOff>
    </from>
    <to>
      <col>7</col>
      <colOff>1265782</colOff>
      <row>0</row>
      <rowOff>605944</rowOff>
    </to>
    <pic>
      <nvPicPr>
        <cNvPr id="3" name="Picture 2"/>
        <cNvPicPr>
          <a:picLocks noChangeAspect="1"/>
        </cNvPicPr>
      </nvPicPr>
      <blipFill>
        <a:blip r:embed="rId1"/>
        <a:stretch>
          <a:fillRect/>
        </a:stretch>
      </blipFill>
      <spPr>
        <a:xfrm>
          <a:off x="10980964" y="81643"/>
          <a:ext cx="1714818" cy="524301"/>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51216;&#44160;&#47588;&#45684;&#50620;/24&#45380;/&#52404;&#53356;&#47532;&#49828;&#53944;/&#9733;%20230118%20Unified%20Report%20form%20for%20supplier%203rd%20party%20audit_Final.xlsb" TargetMode="External" Id="rId1" /></Relationships>
</file>

<file path=xl/externalLinks/_rels/externalLink2.xml.rels><Relationships xmlns="http://schemas.openxmlformats.org/package/2006/relationships"><Relationship Type="http://schemas.openxmlformats.org/officeDocument/2006/relationships/externalLinkPath" Target="file:///C:\Users\vuthu.trang\AppData\Roaming\mySingleDesktopMessage\Temp\49bf75e2-3f83-4d1c-a531-ae1b3d56805b\2025.10.28_KCI_HR%20closure%20audit%20result%20report%20in%202H.2025.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over"/>
      <sheetName val="Report"/>
      <sheetName val="General Information"/>
      <sheetName val="Checklist(Initial)"/>
      <sheetName val="Issue AFA"/>
      <sheetName val="Checklist(Closure)"/>
      <sheetName val="Closure AFA"/>
      <sheetName val="FIndings(Initial)"/>
      <sheetName val="FIndings(Closure)"/>
      <sheetName val="Reference table"/>
      <sheetName val="Signature"/>
      <sheetName val="CAP Form"/>
      <sheetName val="Language"/>
      <sheetName val="chart"/>
      <sheetName val="Tab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B2" t="str">
            <v>A1) 자발적 취업</v>
          </cell>
          <cell r="C2" t="str">
            <v>강제근로 금지</v>
          </cell>
          <cell r="D2" t="str">
            <v>■ 금지된 채용관련 수수료를 근로자가 부담한 경우, 고용회사가 근로자에게 90일 이내 비용 보상을 하지 않았을 시 위반 판정 기준
    ☞ "Reference Table" sheet 참고하여 판정
■ 기타 판정 기준
  ㆍPriority : ① 고용계약에 따른 사전 통지 미제공 퇴사자에 대해 3개월치 기본급을 초과하는 위약금이 부과되는 경우
               ② 고용계약에 따른 사전 통지 제공에도 불구하고 자발적인 고용 종료를 제한 받거나 처벌받는 경우.
               ③ A01.03, A01.04 또는 A01.05가 Priority 위반일 경우 
               ④ 수감자 강제근로, 강제 채무근로 또는 인신매매 근로가 발견되는 경우
  ㆍMajor :  ① 퇴사 사전 통지 기간이 1개월 또는 법에서 요구하는 기간 중 짧은 기준보다 긴 경우
               ② 합리적인 사전 통지가 없는 퇴사에 대해 위약금이 1개월 기본급의 60%를 초과하는 경우
               ③ 지난 1년간 근로자의 의사에 반하는 강제적인 초과근로 발견한 경우 (기록이 삭제 되어 있거나 Update하지 않은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2" t="str">
            <v>A1) Freely Chosen Employment</v>
          </cell>
          <cell r="F2" t="str">
            <v>Prohibition of forced labor</v>
          </cell>
          <cell r="G2" t="str">
            <v>■ The rating criteria for the findings of prohibited recruitment and hiring fees that were paid and not reimbursed within 90 days after the payment.
     Frequency percentages are based on the sample size.
     ☞ Refer to "Reference Table" sheet
■ Other rating criteria
ㆍPriority : ① Penalty to leave without reasonable notice is &gt;3 months of gross base wages
              ② Workers restricted from voluntary employment termination or penalized in other ways when giving reasonable notice.
              ③ A Priority item in A01.03, A01.04 or A01.05
              ④ Non-voluntary labor is present (other than scenarios above or Major nonconformance)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2" t="str">
            <v>A1)自由选择就业</v>
          </cell>
          <cell r="I2" t="str">
            <v>禁止强制劳动</v>
          </cell>
          <cell r="J2" t="str">
            <v xml:space="preserve">■ 若员工支付了不应该支付的招聘手续费，且公司未在90天以内支付费用补偿，则判定为违反。
      =&gt; 请参阅“参考表”表格
■ 其他判定基准
  ㆍPriority : ① 未事前通知离职的，收取违约金&gt;3个月基本工资的
                ② 按合同事前通知离职，但限制终止合同或受处罚的
                ③ A01.03, A01.04 或 A01.05가 Priority 违反的
                ④ 发现被迫犯人劳工，强制债务劳工或贩卖人口劳动的 
  ㆍMajor :  ① 离职通知期&gt;1个月或法定要求时间的，以较短时间为基准
                ② 没有合法事前通知离职的违约金&gt;1个月基本工资的60%
                ③ 发现过去1年有违背劳动者意愿的强制加班 (删除记录或没有更新的)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
</v>
          </cell>
        </row>
        <row r="3">
          <cell r="B3" t="str">
            <v>A1) 자발적 취업</v>
          </cell>
          <cell r="C3" t="str">
            <v>강제근로 금지 정책/절차</v>
          </cell>
          <cell r="D3" t="str">
            <v>ㆍMajor :   ① 정책 또는 절차 부재(모집 및 채용 관행, 계약 종료, 기타 수수료/보증금/부채를 포함해야 함)
              ②프로그램 효과에 관한 모니터링 부재
              ③ 인신매매 또는 노예 노동 금지 요구사항을 효과적으로 인력 파견업체 또는 계약업체에 전달하지 않은 경우 
              ④인력 파견업체, 계약업체와 계약이 체결되지 않은 경우
              ⑤ A01.01가 Priority 위반인 경우
ㆍMinor :   ①모집 및 채용 관행, 계약 종료, 기타 수수료/보증금/부채에 관한 정책과 절차가  직접고용 근로자 또는 인력파견업체/계약업체가 
              ②고용한 근로자들에서 이행 구성 요소 중 1개(예: 모니터링, 시정) 누락
              ③ 프로그램 효과에 관한 모니터링은 있으나, 위반사항에 관한 시정 조치가 미결 상태 또는 없음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3" t="str">
            <v>A1) Freely Chosen Employment</v>
          </cell>
          <cell r="F3" t="str">
            <v>Policy/Procedures on the prohibition of forced labor</v>
          </cell>
          <cell r="G3" t="str">
            <v>ㆍMajor :  ① No policy or procedure (must include recruitment and hiring practices, termination and other fees/deposits/debt)
              ② No monitoring of program effectiveness
              ③ Trafficked or slave labor prohibition requirements are not in contracts with Labor Agents and Contractors
              ④ No contracts are in place between the Auditee and Labor Agents and Contractors
              ⑤ Any priority in A01.01
ㆍMinor :  ① Policy and procedures are in place for recruitment but one of the implementation components is missing 
                   (e.g., monitoring, correction) in either direct workers or those employed by Labor Agents and Contractors
              ② Monitoring of program effectiveness is in place but corrective actions on findings are open/not in place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3" t="str">
            <v>A1)自由选择就业</v>
          </cell>
          <cell r="I3" t="str">
            <v>禁止强制劳动相关政策/流程</v>
          </cell>
          <cell r="J3" t="str">
            <v>ㆍMajor : ① 无政策或程序（必须包括招聘和雇佣实践、终止劳动关系和其他费用押金/债务）
             ② 未监控项目效果
             ③ 未向派遣公司或分包商有效传达禁止拐卖或奴役劳工的规定
             ④ 未与人力派遣公司，分包商签订合同的
             ⑤ A01.01 违反 Priority 
ㆍMinor : ① 招聘和雇佣实践、合同终止、其他费用/保证金/债务制定了政策和程序，
                但就直接招聘的劳动者或通过派遣公司/分包商招聘的劳动者实施一部分（例如，监控、纠正）缺失  
             ② 对项目效果实施监控，但未完成或未对违反事项进行纠正行动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4">
          <cell r="B4" t="str">
            <v>A1) 자발적 취업</v>
          </cell>
          <cell r="C4" t="str">
            <v>모국어 계약서 체결</v>
          </cell>
          <cell r="D4" t="str">
            <v>ㆍPriority : ① 본 고용조건보다 나쁜 조건으로 계약 (예, 낮은 임금, 다른 생선시설 주거/식대 등 비공개 수수료)
             ② 고용 전(이주근로자 경우 본국 떠나기 전) 고용조건에 대한 미통보
             ③ 고용조건에 근로자의 자발적 고용 종료를 제한하는 내용이 포함된 경우
ㆍMajor :   ① 고용조건이 없지만 근로 시작 전 계약 조건을 알린 경우
             ② 고용조건이 모국어로 작성되지 않았지만 근로 시작 전 계약 조건을 알린 경우
             ③ 이주 근로자의 경우 본국 출국 전에 계약서가 전달되지 않았지만 본국 출국 전 계약 조건을 알린 경우
             ④ 전달된 계약서 또는 계약 조건이 불완전한 경우(근로계약서 필수 기재 내용이 1개 이상 누락된 경우) 
             ⑤ 근로자 유형(실습생, 인턴, 파견직, 임시직, 도제(Apprentice) 등)별 현지 법 한도의 5% 초과
ㆍMinor :  ① 고용조건이 제공되었으나 일부 계약조건 누락
             ② 근로자 유형(실습생, 인턴, 파견직, 임시직, 도제(Apprentice) 등)별 현지 법 한도의 1% 초과, 5% 이하인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4" t="str">
            <v>A1) Freely Chosen Employment</v>
          </cell>
          <cell r="F4" t="str">
            <v>Written contract in native language</v>
          </cell>
          <cell r="G4" t="str">
            <v>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in native language or contract not delivered prior to departure (in case of migrant workers) 
                 BUT conditions were communicated before work began (before leaving home in case of migrant worker)
             ② Terms of employment or conditions communicated were incomplete (missing one or more elements)
             ③ Defined worker group mix (e.g. student, intern, dispatch, etc.) exceeds legal limits by &gt;5%
ㆍMinor : ① Terms of employment are provided but are incomplete (e.g. missing terms or conditions)
             ② Defined worker group mix (e.g. student, intern, dispatch, etc.) exceeds legal limits by &gt;1% but ≤5%.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4" t="str">
            <v>A1)自由选择就业</v>
          </cell>
          <cell r="I4" t="str">
            <v>签订母语劳动合同</v>
          </cell>
          <cell r="J4" t="str">
            <v>ㆍPriority :① 与原合同相比，比原 合同条件变更成不好的条件（例如：薪资低、别的生产设施、住房/餐费等非公开费用）
             ② 雇佣前(如是流动劳动者，离开本国前)劳动合同及相关条件未通报
             ③ 合同条件中含有限制自由终止劳动内容的
ㆍMajor : ① 合同条件里没有但工作开始前合同条件告知情况. 合同条件没有制作成母语但工作开始前合同条件告知情况.
                外国劳工情况本国出国前合同未传达本国出国前告知合同条件的情况
             ② 未制作母语合同书，但工作前将合同条件以口头形式沟通的情况
             ③ 流动劳动者在出国前未得到合同书，但在出国之前将合同条件以口头形式沟通的情况
             ④ 未能完整地向员工传达合同条款及条件（合同中的必填项目，存在1个以上的遗漏现象时）
             ⑤ 劳动者类型(实习生, 兼职, 派遣职, 临时职, 学徒(Apprentice) 等)超过现地法限度的5%
             ⑥ 未在法定期限(例：中国规定入社1个月内)内签订合同的情况
             ⑦ 公司和人力派遣业体間没有签订合同 
             ⑧ 派遣职的员工比例超过全体劳动者的10%
ㆍMinor : ① 有合同书或者一部分条件遗漏
             ② 劳动者类型(实习生, 兼职, 派遣职, 临时职, 学徒(Apprentice) 等)超过现地法限度的1% , 小于5%的情况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5">
          <cell r="B5" t="str">
            <v>A1) 자발적 취업</v>
          </cell>
          <cell r="C5" t="str">
            <v>신분증 원본보관 금지</v>
          </cell>
          <cell r="D5" t="str">
            <v>ㆍPriority : 고용주(고용회사)가 일체의 근로자 개인서류 원본을 파기, 은닉, 압수, 강제보관, 근로자 요구시 접근 거부하는 경우
ㆍMajor  : ① 회사가 근로자 원본 개인서류 보관시
             ② 현지 법의 요구사항으로 회사가 원본 개인 서류를 보관하는 경우 안전 보관 및 근로자에게 돌려주는 정책이 없음
             ③ 회사/인력 파견업체에서 제공하는 주거 시설에 거주하는 근로자들이 개인 안전보관 장소(보관함) 접근이 5% 이상으로 금지되는 경우
ㆍMinor  : ① 원본 서류 보관이 현지 법 요구사항일 때, 안전한 보관 정책과 절차가 있으나 근로자가 12시간 이내에 돌려받을 수 없는 경우
             ② 회사/인력 파견업체에서 제공하는 주거 시설에 거주하는 근로자들이 개인 안전보관 장소(보관함) 접근이 5% 미만으로 금지되는 경우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5" t="str">
            <v>A1) Freely Chosen Employment</v>
          </cell>
          <cell r="F5" t="str">
            <v>Prohibition of holding worker’s original ID card</v>
          </cell>
          <cell r="G5" t="str">
            <v>ㆍPriority : Any original personal documents are destroyed, concealed, confiscated, involuntarily held or access is denied when requested.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 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5" t="str">
            <v>A1)自由选择就业</v>
          </cell>
          <cell r="I5" t="str">
            <v>禁止保管身份证原件</v>
          </cell>
          <cell r="J5" t="str">
            <v>ㆍPriority : ① 雇佣主(雇佣公司)个人文件原件损毁、隐藏、伪造、非自愿保管或劳动者本人要求返还时，拒绝返还的
ㆍMajor  : ① 公司保管劳动者的个人证明文件的情况
              ② 依据当地法律保管劳动者原版证明文件时没有安全保管及返还政策的情况
              ③ 在公司/人力派遣业体 提供食宿的劳动者个人安全保管场所不足5% 的情况
ㆍMinor  : ① 保管原件是法定要求事项时，有相关证明文件的保管政策和规程，但劳动者要求返还时，不能在12小时返还的
              ② 住宿的公司及派遣公司的劳动者能接触个人安全保管场所不足5%的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6">
          <cell r="B6" t="str">
            <v>A1) 자발적 취업</v>
          </cell>
          <cell r="C6" t="str">
            <v>이동의 자유 보장</v>
          </cell>
          <cell r="D6" t="str">
            <v>ㆍPriority : ① 근로자들의 건강 또는 안전을 위태롭게 만드는 일체의 상황(예: 공장 또는 기숙사/거주숙소에 감금)
             ② 해고, 당국에의 신고 위협 또는 유사하게 심각한 위협을 통해 근로자들의 이동을 제한하는 경우
ㆍMajor :  ① 정책이 있더라도 (해고, 당국에의 신고 위협 또는 유사하게 심각한 위협이 아닌 다른) 위협 또는 
                처벌을 통해 근로자들의 이동을 제한하는 경우
ㆍMinor :  ① 이동의 자유에 관한 정책 또는 절차가 없으나 이동의 자유에  대한 제한이 없는 경우
             ② 강제적 제한 시스템/절차가 있는 경우(예. toilet passes)
※ 요구 서류 및 기록
    - labor agencies, labor brokers, labor service providers 등 과의 계약서   
- 근로자 노동계약서 사례 : 영구직, 봉급직, 시급직, 임시직, 계절근로자 (있다면), 미성년근로자, 견습생, 직업훈련생(있다면)
   - 나이, 신분 및 정부 취업허가 증빙을 포함하는 고용 기록
- 채용/고용 프로세스 및 절차
   - 직원 대출 및 신용 제도의 문서화</v>
          </cell>
          <cell r="E6" t="str">
            <v>A1) Freely Chosen Employment</v>
          </cell>
          <cell r="F6" t="str">
            <v>Prohibition of restricting freedom of movement</v>
          </cell>
          <cell r="G6" t="str">
            <v>ㆍPriority : ① Any situation that is putting workers at a health or safety risk (e.g. locking in factory or dormitory or living quarters).
              ② Workers are restricted from movement through threat of firing, reporting to authorities or similarly severe threat.
ㆍMajor :  ①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Example of a worker (labor) contract : Permanent employee, Salaried employee, Hourly paid, employee, Temporary staff/worker,
                                                       Seasonal (if applicable) worker, Juvenile employee, Apprentice, Vocational employee (if any)
   - Records of employment including proof of age, identity, and government worker permits
- Recruitment/hiring process/procedure
   - Documentation of employee loan and credit schemes</v>
          </cell>
          <cell r="H6" t="str">
            <v>A1)自由选择就业</v>
          </cell>
          <cell r="I6" t="str">
            <v>禁止限制自由</v>
          </cell>
          <cell r="J6" t="str">
            <v>ㆍPriority : ① 劳动者暴露在保健或安全风险中 (工厂或宿舍闭锁)
              ② 通过被解雇的威胁，当局申报或类似的严重威胁，限制自由活动的
ㆍMajor :  ① 即使有政策（解雇，在当国的申告威胁或者类似其他严重的威胁）但因威胁或者惩罚限制劳动者自由活动的情况
ㆍMinor :  ① 不存在对活动自由的任何限制, 但没有政策或规程
              ②  有强制性的系统/制度 (例如. toilet passes)
[提供的基本文档和记录]
• 与劳工代理、劳工中介、劳工服务提供商签署的合同，....
• 工人（劳工）合同的示例 : 永久员工, 领薪员工, 按小时支付的员工, 临时员工/工人, 季节性（如有）工人, 未成年员工, 学徒工, 职业员工（如有）
• 雇佣记录，包括年龄证明、身份和政府颁发的工人许可
• 招聘/雇佣的流程/程序
• 员工借贷计划的文档</v>
          </cell>
        </row>
        <row r="7">
          <cell r="B7" t="str">
            <v>A2) 미성년 근로</v>
          </cell>
          <cell r="C7" t="str">
            <v>아동근로 금지</v>
          </cell>
          <cell r="D7" t="str">
            <v>ㆍPriority : 근무 최저 연령 미만 근로자가 존재하거나 지난 6개월 내 존재했던 경우
ㆍMajor   : ① 아동근로 금지 정책 또는 정책에 관한 교육이 없지만 아동공이 없는 경우
              ② 2개 이상의 최소 요구 사항 요소가 누락되거나 지켜지지 않는 경우
ㆍMinor   : ① 최소 요구 사항 요소 중 하나가 누락되거나 지켜지지 않는 경우,
                 또는 이행 프로세스가 적절하게 문서화되지 않았거나 금지되어 있는 경우
[최소 요구사항]
1. 현장 확인 : 최저 근로 연령보다 나이가 적은 근로자가 없어야 함
2. 기록 검토 : 인사 기록부에서 모든 근로자가 최저 고용 연령 이상 또는 회사 정책상 최저 고용 연령 이상임을 확인
※ 국가별 법정 고용금지 연령
   - 15세 미만 : 베트남, 태국, 인도, 슬로박, 멕시코
   - 16세 미만 : 중국, 말련, 인니, 헝가리, 폴란드, 러시아, 브라질</v>
          </cell>
          <cell r="E7" t="str">
            <v>A2) Young Labor</v>
          </cell>
          <cell r="F7" t="str">
            <v>Prohibition of child labor</v>
          </cell>
          <cell r="G7" t="str">
            <v>ㆍPriority : Confirmed underage workers are present at the facility or were present at the facility in the last six months
ㆍMajor   : ① No policy or training on policy in place but no underage workers present
               ② Two or more of the minimum requirement elements is missing or ineffective
ㆍMinor  : One of the minimum requirement elements is missing or ineffective, or a system element is not adequately documented or is prohibited
[Minimum requirements]
1. Site Observation : No workers on site appear to be under the minimum age
2. Record Review   : Personnel file sample shows all workers are above minimum age or above company policy minimum age (whichever is greater)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7" t="str">
            <v>A2)未成年劳工</v>
          </cell>
          <cell r="I7" t="str">
            <v>禁止使用童工</v>
          </cell>
          <cell r="J7" t="str">
            <v>ㆍPriority : 目前工厂内存在或过去6个月内经事实确认有尚未到年龄的劳动者
ㆍMajor   : 无政策及培训，但也没有童工
ㆍMinor   : 劳动者超过最小工作年龄，但未达到公司政策规定的最小年龄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8">
          <cell r="B8" t="str">
            <v>A2) 미성년 근로</v>
          </cell>
          <cell r="C8" t="str">
            <v>아동근로 금지 정책</v>
          </cell>
          <cell r="D8" t="str">
            <v>ㆍPriority : 아동공이 직접적으로 또는 인력 파견업체를 통해 간접적으로 고용된 경우
ㆍMajor   : ① 정책과 프로세스 미보유, 연령 확인 증빙 문서 미보유
              ② A02.01이 Priority 위반인 경우 
ㆍMinor   : 정책은 보유하고 있으나, 프로세스가 불완전하거나 또는 연령 확인 문서 증빙이 누락된 경우</v>
          </cell>
          <cell r="E8" t="str">
            <v>A2) Young Labor</v>
          </cell>
          <cell r="F8" t="str">
            <v>Policy/Procedures on the prohibition of child labor</v>
          </cell>
          <cell r="G8" t="str">
            <v>ㆍPriority : Child or underage workers are hired directly or indirectly through a labor agent/contractor
ㆍMajor   : ① No formal policy and process in place AND no proof-of-age documentation
               ② If A02.01 Priority then default Major Non-conformance for inadequate process
ㆍMinor   : Formal policy in place, however, the process is incomplete or proof-of-age documentation is missing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8" t="str">
            <v>A2)未成年劳工</v>
          </cell>
          <cell r="I8" t="str">
            <v>禁止使用童工政策</v>
          </cell>
          <cell r="J8" t="str">
            <v>ㆍPriority : 儿童工通过直接或劳务派遣雇用时
ㆍMajor   : ① 未成年保护程序未保有, 年龄确认凭证文件未保有 
               ② 违反 A02.01이 Priority 情况
ㆍMinor   : 保有政策但流程不完整或没有证明年龄确认的文件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9">
          <cell r="B9" t="str">
            <v>A2) 미성년 근로</v>
          </cell>
          <cell r="C9" t="str">
            <v>미성년 근로자 보호</v>
          </cell>
          <cell r="D9" t="str">
            <v>ㆍPriority :  ① 미성년 근로자의 위험 작업 근무 ② 미성년 근로자의 초과 근무  ③ 미성년 근로자의 야간 근무 
ㆍMajor :   ① 정책 미보유
              ② 최소 요구 사항 요소 중 2개 이상이 누락되었거나 지켜지지 않음
ㆍMinor :   최소 요구 사항 요소 중 하나가 누락되거나 지켜지지 않음,  또는 이행 프로세스가 적절하게 문서화되지 않았거나 금지되어 있음
ㆍN/A    : 정책 및 이행 프로세스가 있고(AND) 현장에 18세 미만의 근로자가 없음
{최소 요구사항]
1. 현장확인 : 18세 미만 미성년 근로자 위험 공정 근무 불가
2. 기록 검토
    1) 정책
      a) 적절하고 효과적인 미성년 근로자 정책과 절차가 시행되고 있음
      b) 이행 프로세스가 다음과 같이 명확하게 정의되고 구현됨:
         i) 법정 건강검진      ii) 명확한 위험 평가      iii) 근로시간 및 일 근로시간 제약
         iv) 미성년 근로자 확인 및 非위험공정 배치   v) 야간 및 초과 근무 금지
   2)  기록
     a) 미성년 근로자의 인사 파일, 의료 파일, 근로시간 기록에 보호 프로세스 이행 내용이 반영되어 있어야 함</v>
          </cell>
          <cell r="E9" t="str">
            <v>A2) Young Labor</v>
          </cell>
          <cell r="F9" t="str">
            <v>Juvenile worker protection</v>
          </cell>
          <cell r="G9" t="str">
            <v>ㆍPriority : ① Young workers are doing hazardous work
              ② Young workers are working overtime
              ③ Young workers are doing night work
ㆍMajor  : ① No policy
              ② Two or more of the minimum requirement elements is missing or ineffective
ㆍMinor  : One of the minimum requirement elements is missing or ineffective, or a system element is not adequately documented or is prohibited
ㆍN/A     : Policy and implementation mechanisms are in place AND No workers under age 18 on site
[Minimum requirements]
1. Site observation : No workers under 18 are performing jobs that are hazardous
2. Record review
   1) Policy
      a) Adequate and effective young worker policies and procedures are in place
      b) Implementation mechanisms are clearly defined and implemented including:
         i) Health checks if required by law   ii) Clear risk evaluation   iii) Restriction on hours worked and time of day worked
        iv) Identification and assignment of young workers to non-hazardous positions   v) Young workers are not allowed night work or overtime
   2) Records
     a) The implementation mechanisms are reflected in personnel files, medical files and work time records.
※ Required Documents and Records
   - Company policy for young worker protection and appropriate hours/shifts             - Minimum hiring age policy
- Procedure for obtaining and validating proof of age documentation                     - Records of training and apprenticeship programs
- School attendance records and any payments by the company for tuition or books  - Juvenile worker protection procedures</v>
          </cell>
          <cell r="H9" t="str">
            <v>A2)未成年劳工</v>
          </cell>
          <cell r="I9" t="str">
            <v>保护未成年工</v>
          </cell>
          <cell r="J9" t="str">
            <v>ㆍPriority : ① 一个未成年工人的危险工作
              ② 一个未成年人工作的加班工作
              ③ 一个未成年工人的夜班工作
ㆍMajor:  发现未成年工加班时
            没有未成年工保护政策和保护流程（未进行法定健康体检）
ㆍMinor: 未成年工保护政策或程序（法定体检实施）不足或部分项目遗漏
ㆍN/A : 有相关体制及流程，没有未成年工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0">
          <cell r="B10" t="str">
            <v>A2) 미성년 근로</v>
          </cell>
          <cell r="C10" t="str">
            <v>실습생/인턴/견습생 보호</v>
          </cell>
          <cell r="D10" t="str">
            <v>ㆍMajor :  ① 견습생이 수행하는 일이 전공 분야 또는 새로운 직업 교육과 관련이 없음
              ② 근로자가 최저 임금 이하의 보수를 받는 견습기간이 6개월을 초과함 (법적 요건이 허용하는 경우에만 6개월 초과 가능)
              ③ 학교, 공장, 학생/학부모 간에 3자 계약이 이루어지지 않음
              ④ 인턴, 학생근로자, 견습생이 인력 파견업체에 의해 고용됨
              ⑤ 최소 요구 사항 요소 중 2개 이상이 누락되었거나 지켜지지 않는 경우
ㆍMinor :   ① 교육 프로그램에 관한 정책 없음  ② 학교 대상 실사가 수행되지 않음
              ③ 최소 요구 사항 요소 중 하나가 누락되거나 지켜지지 않음,  또는 이행 프로세스가 적절하게 문서화되지 않았거나 금지되어 있음
ㆍN/A : 교육 프로그램에 관한 정책이 있고(AND) 현장에 학생 근로자, 인턴, 견습생이 없음
[최소 요구사항]
1. 현장 확인 : 학생 근로자/인턴/견습생은 전공 분야 또는 신규 직업 교육과 관련된 작업만 수행하며 관련 법률에 의해 
                 금지된 작업은 수행하지 않아야 함
2. 기록 검토
   1) 정책
       a) 견습생/인턴/학생 근로자의 직무에 대한 적절하고 효과적인 정책 및 절차
         i) 견습생/인턴/학생 근로자를 고용하지 않는다는 서면 정책(a written policy) 보유
         ii) 인턴십/학생 근로자 및 견습 과정은 전공 분야 또는 새로운 직업에 대한 학습 제공
         iii) 견습 기간의 최대 기간 (근로자가 최저 임금 미만의 급여를 받는 경우 6개월 이하)
         iv) 채용, 배치 및 관리에 대리인 또는 중개인 사용 금지
         v) 모든 작업은 자발적(배치 배정에 대한 선택 포함)으로 이루어짐
         vi) 단순히 인력 부족을 채우기 위해 학생 근로자, 인턴 또는 견습생 사용 금지
    2) 기록
      a) 3자 계약 : 3자 계약(학생 근로자(및/또는 법적 보호자), 학교, 회사)에 대해 문서화된 구체적인 요구 사항
      b) 인사 기록
      c) 학생 근로자/인턴 또는 견습생의 개인 파일 기록 유지(해당되는 경우, 학습 목표, 평가, 교육 자료 참조 등)
      d) 성공적인 견습 종료 후의 승진/고용 기회, 자격, 채용, 고용 계약, 업무 성격, 근로 시간, 임금 및 복리 후생 등에 대한 세부 사항
          i) 교육 자료 : 유효한 교육 프로그램 및 교육 자료 보유</v>
          </cell>
          <cell r="E10" t="str">
            <v>A2) Young Labor</v>
          </cell>
          <cell r="F10" t="str">
            <v>Student worker/Intern/Apprentice Protection</v>
          </cell>
          <cell r="G10" t="str">
            <v xml:space="preserve">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is missing or ineffective
ㆍMinor :  ① No policy on learning programs in place
              ② No school due diligence performed
              ③ One of the minimum requirement elements is missing or ineffective, or a system element is not adequately documented or is prohibited
ㆍN/A   : A policy on learning programs is in place AND no student workers, interns or apprentices 
[Minimum requirements]
1. Site observation : Student workers/interns/apprentices only perform tasks related to their field of study or learning of a new vocation and shall not 
                          perform the tasks prohibited by applicable laws
2. Record review
  1) Policy
       a) Adequate and effective policies and procedures on Apprentice/Intern/Student Worker’s assignments:
          i) If applicable, a written policy stating that the Auditee does not hire apprentices/interns/student workers.
         ii) A commitment to only providing internships/student workers assignments and apprenticeships that complement their course of study field or learning of new vocation;
        iii) Maximum duration of apprenticeship (not more than 6 months if worker is paid below minimum wage);
        iv) No agency or intermediary may be used in connection with the recruitment, hiring, arrangement, and management of student workers, interns or apprentices;
         v) All work is voluntary (including choice of learning placement assignment);
        vi) Prohibition of use of student workers, interns or apprentices to simply fill a labor shortage;
    2) Records
      a) Tri-partite agreement: If applicable, documented specific requirements on tri-party agreement (student workers (and/or legal guardian), school and Auditee)
      b) Personnel records:
      c) Maintenance of student worker/intern or apprentices' records in personnel files (includes agreement if applicable, learning objectives, evaluations, reference
         to training material, assignment, …);
      d) Details on promotion/hiring opportunities after successful apprenticeship, eligibility, recruitment, employment agreement, nature of work, working hours, 
          wages and benefits
         i) Training material: An outline of training program and copies of the training material are available at all times
</v>
          </cell>
          <cell r="H10" t="str">
            <v>A2)未成年劳工</v>
          </cell>
          <cell r="I10" t="str">
            <v>保护实习生</v>
          </cell>
          <cell r="J10" t="str">
            <v>ㆍMajor : ① 学徒执行的工作和新的领域或新的与职业教育没有关联
            ② 由劳动者获得最低工资以下的报酬实习期间超过6个月（法律上的条件只有在允许的情况下超过6个月的时间）
            ③ 学校、工厂、学生/家长和三方合同不成 
            ④ 实习的学生劳动者，当学徒的人力派遣企业
            ⑤ 加班/夜间/危险工程安排工作
            ⑥ 适用于同一劳动不同的工资
            ⑦ 最起码要求事项中的2个以上如果被遗漏或不守护的情况
ㆍMinor : ① 没有对教育程序的规定
            ② 未完成学校对象的实地考察
            ③ 最起码的要求因素中的一个被遗漏恰当的或履行的进程是适当的未完成或被禁止
ㆍN/A : 现场无学生工实习生及学徒工 
[提供的基本文档和记录]
• 有关未成年工人保护和有关工时/轮班的政策
• 最低雇佣年龄政策
• 获得和验证年龄文档证明的程序
• 培训和学徒工计划的记录
• 入学记录及公司为学费或书本支付的任何费用
• 未成年工人保护程序</v>
          </cell>
        </row>
        <row r="11">
          <cell r="B11" t="str">
            <v>A3) 근로시간</v>
          </cell>
          <cell r="C11" t="str">
            <v>근로시간 준수</v>
          </cell>
          <cell r="D11" t="str">
            <v xml:space="preserve">
Use working-hour evaluation template, "Reference Table" sheet 참조
</v>
          </cell>
          <cell r="E11" t="str">
            <v>A3) Working Hours</v>
          </cell>
          <cell r="F11" t="str">
            <v>Compliance of working hours(60hr/week or legal)</v>
          </cell>
          <cell r="G11" t="str">
            <v xml:space="preserve">
☞ Use working-hour evaluation template &amp; Refer to "Reference Table" sheet
</v>
          </cell>
          <cell r="H11" t="str">
            <v>A3)工作时间</v>
          </cell>
          <cell r="I11" t="str">
            <v>遵守工作时间</v>
          </cell>
          <cell r="J11" t="str">
            <v xml:space="preserve">
Use working-hour evaluation template   
</v>
          </cell>
        </row>
        <row r="12">
          <cell r="B12" t="str">
            <v>A3) 근로시간</v>
          </cell>
          <cell r="C12" t="str">
            <v>주1회 휴무 보장</v>
          </cell>
          <cell r="D12" t="str">
            <v xml:space="preserve">
Use working-hour evaluation template, "Reference Table" sheet 참조
</v>
          </cell>
          <cell r="E12" t="str">
            <v>A3) Working Hours</v>
          </cell>
          <cell r="F12" t="str">
            <v>Guarantee of 1 day-off per week</v>
          </cell>
          <cell r="G12" t="str">
            <v xml:space="preserve">
☞ Use working-hour evaluation template &amp; Refer to "Reference Table" sheet
</v>
          </cell>
          <cell r="H12" t="str">
            <v>A3)工作时间</v>
          </cell>
          <cell r="I12" t="str">
            <v>保障每周休息一日</v>
          </cell>
          <cell r="J12" t="str">
            <v xml:space="preserve">
Use working-hour evaluation template   
</v>
          </cell>
        </row>
        <row r="13">
          <cell r="B13" t="str">
            <v>A3) 근로시간</v>
          </cell>
          <cell r="C13" t="str">
            <v>근로시간 정책</v>
          </cell>
          <cell r="D13" t="str">
            <v>ㆍMajor :  ① 시간 기록 장치가 없거나, 시간 기록 장치가 정확하지 않거나, 정상적으로 작동하지 않는 경우
              ②  근로시간 기록이 심사원이 확인한 다른 기록과 일치하지 않는 경우(전체 근로자의 5% 이상)
              ③ 근로시간 기록이 근로자의 조정 요청 이후 정확하게 변경되지 않는 경우
              ④ 최소 요구 사항 요소 중 두 개 이상이 누락되었거나 효과가 없는 경우 
ㆍMinor :  ① 근로시간 기록이 심사원이 확인한 다른 기록과 일치하지 않는 경우(전체 근로자의 1% ~ 5%)
             ② 최소 요구사항 요소 중 하나가 누락 또는 효과가 없거나, 
                 시스템 요소가 제대로 문서화되지 않거나 금지되어 있는 경우 
[최소 요구사항]
1. 기록 검토
    1) 정책:
       a) 근로시간/휴일에 대한 적절하고 효과적인 정책 및 절차를 시행할 것
           i) 정확한 판단    ii) 기록    iii) 관리    iv) 초과 근무, 휴일 포함한 근로시간 제어 
           b) 위반 사항이 발견되면, 문서화된 시정 조치를 이행하고 진행 상황을 문서화 하여야 함
    2) 기록:
       a) 회사 근로 시간 기록 및 시스템을 검토하여 근로시간이 정확하고 완전하게 기록되었는지 확인
    3) 기록 장치:
       a) 근로시간 기록 저장 장치가 있고, 모두 정상 작동함</v>
          </cell>
          <cell r="E13" t="str">
            <v>A3) Working Hours</v>
          </cell>
          <cell r="F13" t="str">
            <v>Working hours policy</v>
          </cell>
          <cell r="G13" t="str">
            <v>ㆍMajor  : ① No time recording devices present or time recording devices not accurate or not in good working order
              ② Time records do not match other relevant Auditee records (for greater than 5 percent of population)
              ③ Time records are not accurately adjusted after worker complaint
              ④ Two or more of the minimum requirement elements is missing or ineffective
ㆍMinor :  ① Time records not matching other relevant Auditee records for &gt;1% to ≤5% of population
              ② One of the minimum requirement elements is missing or ineffective, or a system element is not adequately documented or is prohibited
[Minimum requirements]
1. Record review
  1) Policy:
       a) Adequate and effective working hours/days off policies and procedures are in place to
           i) Accurately determine    ii) Record    iii) Manage    iv) Control working hours including overtime and days off.
       b) If non-conformance is detected, documented corrective action should be implemented and progress against the corrective action documented.
   2) Records:
       a) Review the company's time records and system for recording time worked to determine that time is recorded accurately and completely.
   3) Recording devices:
       a) Time Recording Devices are present and all are in working order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3" t="str">
            <v>A3)工作时间</v>
          </cell>
          <cell r="I13" t="str">
            <v>工作时间政策</v>
          </cell>
          <cell r="J13" t="str">
            <v>ㆍMajor :  ① 无考情设备或考勤设备不准确及无法政策运行
              ② 考勤记录与检查人员确认结果不符的情况(全员5%以上)
              ③ 经过员工反映修改考勤后没有正确修改的情况
              ④ 要求事项中遗漏两个以上或无实际效果
ㆍMinor :  ① 考勤记录与检查人员确认结果不符的情况(全员1% ~ 5%)
              ② 要求事项中遗漏两个以上或无实际效果系统内容无文件化或禁止翻阅的情况
[Minimum requirements]
1. 研究记录
    1)政策:
       a)对工作时间/休息日的有效、有效的政策及程序
           i)正确的判断    (ii)记录     iii)的加班工作，包括加班工作的工作时间控制
       b)如果发现违规事项，将履行文书化的施政措施，并把进展情况具体化
    2)记录:
       a)检查公司工作时间的记录及系统，确认工作时间是否正确、完整地记录下来
    3)记录装置:
       a)工作时间记录保存，一切正常运转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4">
          <cell r="B14" t="str">
            <v>A3) 근로시간</v>
          </cell>
          <cell r="C14" t="str">
            <v>법정 휴식/휴가 보장</v>
          </cell>
          <cell r="D14" t="str">
            <v>ㆍPriority : 유효한 의료 진단서를 제출해도 병가나 출산휴가 사용이 불가한 경우
ㆍMajor   : ① 정책이 없고 법정 휴식/휴일 미제공 또는 보장하지 않는 경우
             ② 휴가 기록을 보관하지 않거나기록이 정확하지 않은 경우
ㆍMinor  : ① 휴일과 휴식이 법적 요건을 충족하나 정책이 없는 경우
             ② 휴일과 휴식이 법적 요건을 충족하나 해당 정책을 근로자에게 미공지</v>
          </cell>
          <cell r="E14" t="str">
            <v>A3) Working Hours</v>
          </cell>
          <cell r="F14" t="str">
            <v>Guarantee of legal breaks and holidays</v>
          </cell>
          <cell r="G14" t="str">
            <v>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as per legal requirements but no policy in place.
             ② Holidays and mandatory breaks are provided as per legal requirements but  policy not communicated to workers.
※ Required Documents and Records
   - Non-traditional work hour permits or overtime waivers issued by government agencies
- Information provided to workers describing legal requirements for working hours and overtime     - Working hours policy
   - Process for allocating and controlling overtime hours                             - Work time registration process/procedure (clocking ....)
- Worker timecards or timesheets (most recent 12 month period)
- Evidence that employees have agreed to overtime (e.g. signed statement)  - Evidence of communication of overtime</v>
          </cell>
          <cell r="H14" t="str">
            <v>A3)工作时间</v>
          </cell>
          <cell r="I14" t="str">
            <v>保障法定休息/休假</v>
          </cell>
          <cell r="J14" t="str">
            <v>ㆍPriority: 持有有效的诊断书但无法正常申请病假或产假的情况              
ㆍMajor:  ① 无政策，未提供或为保障法定的休息时间与法定节假日  
             ② 无休假记录或记录不正确
             ③ 中国广东省地区为怀孕7个月以上的员工额外提供1小时的休息时间(‘17.2.1~)   
             ④ 中国陕西省地区提供女员工生理家1~2天(‘18.3.1 ~ ) (需女员工在生理期间开据医院诊断书，并提交公司)
ㆍMinor:  ① 休息时间与法定节假日符合法律规定，但无政策
             ② 休息时间与法定节假日符合法律规定，有无政策，但未对员工进行培训
[提供的基本文档和记录]
• 政府机构颁发的非传统工作时间许可或加班豁免
• 向工人提供的信息，描述有关工作时间和加班的法律规定
• 工作时间政策
• 分配和控制加班时间的流程
• 工作时间登记流程/程序（打卡....）
• 工人时间卡或时间表（最近 12 个月）
• 员工已同意加班的证据（例如，签字声明）
• 传达加班的证据</v>
          </cell>
        </row>
        <row r="15">
          <cell r="B15" t="str">
            <v>A4) 임금 및 복리후생</v>
          </cell>
          <cell r="C15" t="str">
            <v>정확한 임금 산정/지급</v>
          </cell>
          <cell r="D15" t="str">
            <v>ㆍPriority : 확인 샘플의 20% 이상에게 계약된 임금 미만으로 지급
ㆍMajor  :  ① 임금계산의 구조적 계산 오류
             ② 확인 샘플의 5% 이상이고 20% 이상에게 계약된 임금 미만으로 지급 
             ③ 확인 샘플의 5% 이상에게 수당을 지급하지 않거나, 정확한 초과근로 보상을 하지 않는 경우
ㆍMinor  : 정책은 없으나, 임금 계산방법과 지급이 법적 요구사항, 근로 계약서 또는 RBA 요구사항을 준수하는 경우</v>
          </cell>
          <cell r="E15" t="str">
            <v>A4) Wages and Benefits</v>
          </cell>
          <cell r="F15" t="str">
            <v>Accurate wage calculation and payment</v>
          </cell>
          <cell r="G15" t="str">
            <v>ㆍPriority : ≥20% of sample is paid less than agreed wage
ㆍMajor  : No policy is in place AND one or more of the following is true
             ① Wage calculations have structural calculation error
             ② Percentage of sample or population paid below agreed wage is ≥5% and ≤20%
             ③ Percentage of sample or population not paid benefits or correct overtime compensation is ≥5%
ㆍMinor : No policy is in place but calculations and payment conform to legal requirements, contract or RBA requirements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5" t="str">
            <v>A4)工资和福利</v>
          </cell>
          <cell r="I15" t="str">
            <v>准确的工资计算/支付</v>
          </cell>
          <cell r="J15" t="str">
            <v>ㆍPriority : 抽样人员20%以上支付低于合同工资
ㆍMajor : ① 工资计算方法错误
             ② 抽样人员5%以上20%以下低于合同工资 
             ③ 抽样人员5%以上未支付津贴，未支付正确的加班费
             ④ 未支付法定津贴 (高温补助及津贴夜班中班津贴，冬季采暖补助等)  ※ 确认是否以当地标准支付
             ⑤ 加班费未按标准计算 (平日 1.5倍, 周末 2倍, 法定节假日 3倍)
             ⑥ 公司未直接支付派遣职员工工资
             ⑦ 加班费未按标准基数计算
ㆍMinor : 无政策，但工资计算方式符合法定要求,符合合同或RBA的要求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6">
          <cell r="B16" t="str">
            <v>A4) 임금 및 복리후생</v>
          </cell>
          <cell r="C16" t="str">
            <v>급여명세서 제공, 임금체불 금지</v>
          </cell>
          <cell r="D16" t="str">
            <v>ㆍPriority : 급여가 1개월 이상 체불되는 경우
ㆍMajor :  ① 근로자에게 급여(임금, 보상)를 급여 명세서 또는 유사 문서로 통보하지 않은 경우
             ② 근로자에게 임금지급에 대한 교육이나 설명을 제공하지 않은 경우
             ③ 급여가 1개월 미만 체불되는 경우(근로자의 5% 초과)
ㆍMinor : ① 임금 계산방식에 대하여 근로자에게 충분한 설명과 교육을 제공하였으나, 전체 종업원 수의 5% 이상이
               급여 계산 방식을 이해하지 못할 경우
            ② 급여가 1개월 미만 체불되는 경우(근로자의 5% 초과)</v>
          </cell>
          <cell r="E16" t="str">
            <v>A4) Wages and Benefits</v>
          </cell>
          <cell r="F16" t="str">
            <v>Provision of pay slip, Prohibition of payment delay</v>
          </cell>
          <cell r="G16" t="str">
            <v>ㆍPriority : Payments have been delayed for more than 1 month beyond regular payment cycle
ㆍMajor : ① Wages and compensation are not communicated to workers in the form of pay slips, pay roll receipt or equivalent
             ② No training or explanation of wages are provided to workers
             ③ Payments are delayed less than one month beyond normal payment cycle and for &gt;5 percent of worker sample or population
ㆍMinor : ① Communication and training is provided but &gt;5 percent of the worker sample or population do not understand how wages are calculated
             ② Payments have been delayed less than one month beyond normal payment cycle and for ≤5 percent of worker sample or population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6" t="str">
            <v>A4)工资和福利</v>
          </cell>
          <cell r="I16" t="str">
            <v>提供工资表 禁止拖欠工资</v>
          </cell>
          <cell r="J16" t="str">
            <v>ㆍPriority : 拖欠工资一个月以上
ㆍMajor : ① 未提供工资条
             ② 未对员工进行工资支付的培训的情况
             ③ 拖欠工资1个月以上员工超过总员工的5%以上    ※ 中国适用拖欠工资1人以上
ㆍMinor : ① 对员工进行了工资计算方式的充分的说明及培训，但5%以上员工还是无法理解计算方式的情况
             ② 拖欠工资未满一个月的情况 (总员工的5%以上)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7">
          <cell r="B17" t="str">
            <v>A4) 임금 및 복리후생</v>
          </cell>
          <cell r="C17" t="str">
            <v>부당한 벌금제 금지</v>
          </cell>
          <cell r="D17" t="str">
            <v>ㆍMajor   : 급여 공제가 표준 징계 수단으로 사용되는 경우
               (예 : 지각 시간 대비 과도한 벌금 또는 급여 공제, 퇴직 시 근무복 미반납 급여 공제, 지정 구역외 흡연 시 벌금 부과, 
                     퇴사 30일전 미통보 시 벌금 또는 급여 미지급/삭감 등)
ㆍMinor   : 급여 공제는 없지만 징계 수단의 임금 공제를 금지하는 정책 미보유</v>
          </cell>
          <cell r="E17" t="str">
            <v>A4) Wages and Benefits</v>
          </cell>
          <cell r="F17" t="str">
            <v>Prohibition of monetary penalty</v>
          </cell>
          <cell r="G17" t="str">
            <v>ㆍMajor   : Wage deductions are employed by the Auditee as a standard disciplinary measure.
               (ex : Excessive wage deduction over the time the worker was late, Wage deduction due to no return of uniform in case of leaving company)
ㆍMinor   : Wage deductions are not employed by the Auditee, however no clear policy statement on this is in place.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7" t="str">
            <v>A4)工资和福利</v>
          </cell>
          <cell r="I17" t="str">
            <v>禁止罚款制度</v>
          </cell>
          <cell r="J17" t="str">
            <v>ㆍMajor : 以罚款为惩戒手段的情况
  ※ 例 : 比实际迟到时间扣除更多的工资, 离职时未退还工作服罚款,, 未在指定地点吸烟的罚款,
           未提前30天提出离职申请时罚款或不支付工资
ㆍMinor : 未存在实际罚款，但无禁止罚款的政策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8">
          <cell r="B18" t="str">
            <v>A4) 임금 및 복리후생</v>
          </cell>
          <cell r="C18" t="str">
            <v>사회보험료 등 원천징수액 납부</v>
          </cell>
          <cell r="D18" t="str">
            <v>ㆍPriority : 최소 3개월 동안 법정 공제액이 납부되지 않았거나 정해진 기일에 납부되지 않은 경우
ㆍMajor : ① 전체 근로자 중 20%를 초과하는 인력이법정 공제액이 정확하지 않게 계산된 경우 (급여 지급 실적이 2회 미만인 신규근로자 제외)
            ② 법정 공제액이 정확하게 계산되지 않았거나 정해진 기일에 납부되지 않은 경우
ㆍMinor : ① 전체 근로자 중 20% 미만 인력이 법정 공제액이 정확하지 않게 계산된 경우(급여 지급 실적이 2회 미만인 신규근로자 제외)
            ② 법정 공제액이 제때에 납부되었으나    근로자에게 통지가 되지 않는 경우</v>
          </cell>
          <cell r="E18" t="str">
            <v>A4) Wages and Benefits</v>
          </cell>
          <cell r="F18" t="str">
            <v>Payment of government or regulatory deductions</v>
          </cell>
          <cell r="G18" t="str">
            <v>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legally required contributions.
※ Required Documents and Records
   - Information provided to workers describing wages, deductions, calculations, and benefits
- Disciplinary wage deductions and bonus award practices             - List of allowances, e.g. food, accommodations and procedure
- Procedure for piece rate determination and calculations              - List of worker contributions and procedure
- Local minimum wage definition
   - Wage records(pay slips) covering the last 12months showing all deductions, contributions, earnings and money transfers for workers
- Proof of purchase of all applicable insurance for workers          
   - Proof of maternity/paternity leave policy for workers</v>
          </cell>
          <cell r="H18" t="str">
            <v>A4)工资和福利</v>
          </cell>
          <cell r="I18" t="str">
            <v>加入法定社会保险</v>
          </cell>
          <cell r="J18" t="str">
            <v>ㆍPriority : 最少3个月为足额缴纳或未按规定期限缴纳的情况
ㆍMajor :  ① 全体员工20%以上未足额缴纳或计算错误的情况  (支付工资未满2次的新员工除外)
              ② 保险未按法定金额缴纳或未按规定期限缴纳的情况
ㆍMinor :  ① 全体员工20%以下未足额缴纳或计算错误的情况 (支付工资未满2次的新员工除外)
              ② 按时缴纳保险但为通知员工的情况
              ③ 保险缴纳额比地方政府规定低的情况
              ④ 员工希望缴纳公积金但公司不予缴纳的情况
[提供的基本文档和记录]
• 向工人提供的信息，描述薪水、扣减、计算和福利
• 处罚性的薪水扣减和奖金的惯例
• 津贴清单，例如，食物、住宿和程序
• 计件工资的确定和计算程序
• 工人的贡献清单和程序
• 当地最低工资的定义
• 工人最近 12 个月的工资记录和工资条，显示了所有扣减、贡献、收入和汇款
• 为工人购买所有适用保险的证据
• 为员工提供母亲产假和父亲假的政策证据</v>
          </cell>
        </row>
        <row r="19">
          <cell r="B19" t="str">
            <v>A5) 인도적 대우</v>
          </cell>
          <cell r="C19" t="str">
            <v>비인도적 대우 금지</v>
          </cell>
          <cell r="D19" t="str">
            <v>ㆍPriority : 1건 이상의 비인도적 대우 사례가 보고되었으나  사측의 개선조치가 없는 경우 
ㆍMajor   : 1건의 비인도적 대우 사례가 보고되었고 사측의 개선조치 진행 중
ㆍMinor   : 1건의 비인도적인 대우 사례가 보고되어 개선조치 완료했으나, 지속적인 예방조치가 부족한 경우</v>
          </cell>
          <cell r="E19" t="str">
            <v>A5) Humane Treatment</v>
          </cell>
          <cell r="F19" t="str">
            <v>Prohibition of inhumane treatment</v>
          </cell>
          <cell r="G19" t="str">
            <v>ㆍPriority : 1 or more case of inhumane treatment are reported without action taken by Auditee management.
ㆍMajor   : Less than 2 inhumane treatment cases are reported with actions still in progress.
ㆍMinor   : Less than 2 inhumane treatment cases were reported with actions completed but no measures on an ongoing basis.
※ Required Documents and Records
   - Facility rules and regulations on acceptable worker practices and disciplinary measures
   - Disciplinary process/procedure
   - Records of workers grievances, disciplinary investigations and actions taken (and communicated)</v>
          </cell>
          <cell r="H19" t="str">
            <v>A5)人道待遇</v>
          </cell>
          <cell r="I19" t="str">
            <v>禁止非人道待遇</v>
          </cell>
          <cell r="J19" t="str">
            <v>ㆍPriority : 被提出1件以上的非人道待遇事例，但公司无改善措施
ㆍMajor   : 被提出1件以上的非人道待遇事例，公司正在进行改善中
ㆍMinor   : 被提出1件以上的非人道待遇事例且已改善，但缺乏后续的预防措施
[提供的基本文档和记录]
• 有关可接受工人惯例和处罚措施的工厂规则和条例
• 处罚流程/程序
• 有关工人申诉、处罚调查和采取（和传达）的行动的记录</v>
          </cell>
        </row>
        <row r="20">
          <cell r="B20" t="str">
            <v>A5) 인도적 대우</v>
          </cell>
          <cell r="C20" t="str">
            <v>인도적 대우 정책/절차</v>
          </cell>
          <cell r="D20" t="str">
            <v>ㆍMajor  : 징계 정책 및 절차 부재
ㆍMinor : 징계 정책과 징계 조치 기록은 있지만 불완전한 경우</v>
          </cell>
          <cell r="E20" t="str">
            <v>A5) Humane Treatment</v>
          </cell>
          <cell r="F20" t="str">
            <v>Policy/Procedures on humane treatment</v>
          </cell>
          <cell r="G20" t="str">
            <v>ㆍMajor   : No disciplinary policy/procedures
ㆍMinor   : Disciplinary policy and disciplinary action records are in place but incomplete
※ Required Documents and Records
   - Facility rules and regulations on acceptable worker practices and disciplinary measures
   - Disciplinary process/procedure
   - Records of workers grievances, disciplinary investigations and actions taken (and communicated)</v>
          </cell>
          <cell r="H20" t="str">
            <v>A5)人道待遇</v>
          </cell>
          <cell r="I20" t="str">
            <v>政策/程序</v>
          </cell>
          <cell r="J20" t="str">
            <v>ㆍMajor  : 无惩戒政策及流程
ㆍMinor : 有惩戒政策惩戒记录，但不完善
[提供的基本文档和记录]
• 有关可接受工人惯例和处罚措施的工厂规则和条例
• 处罚流程/程序
• 有关工人申诉、处罚调查和采取（和传达）的行动的记录</v>
          </cell>
        </row>
        <row r="21">
          <cell r="B21" t="str">
            <v>A5) 인도적 대우</v>
          </cell>
          <cell r="C21" t="str">
            <v>징계조치 기록/관리</v>
          </cell>
          <cell r="D21" t="str">
            <v xml:space="preserve">ㆍMajor   : ① 징계 조치 기록 부재 
              ② 징계 조치 기록이 회사 절차를 따르지 않은 경우
ㆍMinor   : ① 징계 조치 기록은 존재하나, 근로자가 기록/조치를 확인/서명하지 않은 경우
</v>
          </cell>
          <cell r="E21" t="str">
            <v>A5) Humane Treatment</v>
          </cell>
          <cell r="F21" t="str">
            <v>Recording and managing disciplinary actions</v>
          </cell>
          <cell r="G21" t="str">
            <v>ㆍMajor   : ① Disciplinary action records are not available
               ② Disciplinary action records are not consistent with company procedures
ㆍMinor  : Disciplinary action records are available but workers do not confirm or sign the records/actions.
※ Required Documents and Records
   - Facility rules and regulations on acceptable worker practices and disciplinary measures
   - Disciplinary process/procedure
   - Records of workers grievances, disciplinary investigations and actions taken (and communicated)</v>
          </cell>
          <cell r="H21" t="str">
            <v>A5)人道待遇</v>
          </cell>
          <cell r="I21" t="str">
            <v>惩罚措施记录,管理</v>
          </cell>
          <cell r="J21" t="str">
            <v>• Major: ① 惩戒措施记录无效
           ② 惩戒措施记录与公司流程不一致
• Minor: 有惩戒记录但无员工确认签字的情况
[提供的基本文档和记录]
• 有关可接受工人惯例和处罚措施的工厂规则和条例
• 处罚流程/程序
• 有关工人申诉、处罚调查和采取（和传达）的行动的记录</v>
          </cell>
        </row>
        <row r="22">
          <cell r="B22" t="str">
            <v>A6) 차별금지</v>
          </cell>
          <cell r="C22" t="str">
            <v>개인특성에 따른 차별금지</v>
          </cell>
          <cell r="D22" t="str">
            <v>ㆍPriority : 관리자가 보호대상 근로자 계층에 심각한 위험을 초래하는 구조적인 방법으로 차별
ㆍMajor   : 2건 이상의 차별 사례가 보고되었으나, 조치가 이행되지 않음
ㆍMinor   : 1건의 차별 사례가 보고되어 조치 완료했으나, 지속적인 예방 조치가 없는 경우
  * Note : 차별 사례들이 문서화된 근거가 있는 경우 차별 사례가 적용되지만, 주장은 차별 사례로 간주되지 않음</v>
          </cell>
          <cell r="E22" t="str">
            <v>A6) Non-discrimination</v>
          </cell>
          <cell r="F22" t="str">
            <v xml:space="preserve">Prohibition of discrimination on individual characteristics </v>
          </cell>
          <cell r="G22" t="str">
            <v>ㆍPriority : Management discriminates in a structural way that causes significant harm to a protected class.
ㆍMajor  : 2 or more discrimination cases are reported with actions not taken.
ㆍMinor  : 1 discrimination case was reported with actions completed, but no preventative measures on an ongoing basis.
 * Note: discrimination cases are applicable if these cases have a documented basis, allegations are not considered as a discrimination case.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2" t="str">
            <v>A6)非歧视</v>
          </cell>
          <cell r="I22" t="str">
            <v>个人特性非歧视</v>
          </cell>
          <cell r="J22" t="str">
            <v>ㆍPriority : 管理者对保护对象进行歧视管理
ㆍMajor : . 歧视事件2件以上或无纠正措施  例) 确认招聘公告及公司政策内歧视内容 
              管理者与员工的用餐区分的情况 (例 食堂区分或菜品区分)
ㆍMinor : 歧视事件发生1件，且已纠正，但无持续的预防措施
  * Note :歧视案件都适用，如果这些案件有成文的依据，指控不被视为歧视案
[提供的基本文档和记录]
• 雇佣前、入职前的医疗检查要求
• 医疗保密程序和惯例
• 有关工人分布（类型（合同/临时/永久）、性别、职能、民族（籍贯）、年龄，...）的信息
• 当前的工作广告和资格
• 职能和职位的描述</v>
          </cell>
        </row>
        <row r="23">
          <cell r="B23" t="str">
            <v>A6) 차별금지</v>
          </cell>
          <cell r="C23" t="str">
            <v>차별금지 정책/절차</v>
          </cell>
          <cell r="D23" t="str">
            <v>ㆍMajor   : 차별금지 정책 부재
ㆍMinor   : 차별금지 정책은 있지만 모든 보호대상 근로자 계층을 보호하지 않음</v>
          </cell>
          <cell r="E23" t="str">
            <v>A6) Non-discrimination</v>
          </cell>
          <cell r="F23" t="str">
            <v xml:space="preserve">Policy/Procedures on the prohibition of discrimination on individual characteristics </v>
          </cell>
          <cell r="G23" t="str">
            <v>ㆍMajor   : No non-discrimination policy
ㆍMinor   : Non-discrimination policy in place, but does not protect all RBA-protected classes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3" t="str">
            <v>A6)非歧视</v>
          </cell>
          <cell r="I23" t="str">
            <v>树立政策/流程</v>
          </cell>
          <cell r="J23" t="str">
            <v>• Major: 无禁止歧视政策
• Minor: 有禁止歧视政策，但对保护对象未进行保护
[提供的基本文档和记录]
• 雇佣前、入职前的医疗检查要求
• 医疗保密程序和惯例
• 有关工人分布（类型（合同/临时/永久）、性别、职能、民族（籍贯）、年龄，...）的信息
• 当前的工作广告和资格
• 职能和职位的描述</v>
          </cell>
        </row>
        <row r="24">
          <cell r="B24" t="str">
            <v>A6) 차별금지</v>
          </cell>
          <cell r="C24" t="str">
            <v>종교활동 장소제공(해당 종교)</v>
          </cell>
          <cell r="D24" t="str">
            <v>ㆍPriority : 합리적인 종교적 편의 요청이 정당한 근거 없이 관리자에 의해 거부된 경우
ㆍMajor   : ① 정책이 없거나 적절하게 합당한 종교적 편의가 제공되지 않은 경우
              ② 기도실/종교적인 공간이 제공되나, 안전하지 않거나 깨끗하지 않은 경우
              ③ 합리적인 종교적 편의를 요청 받았으나, 이를 평가하지 않거나 그 결정을 요청자/근로자들에게 알리지 않은 경우
ㆍMinor   : 합리적인 종교적 편의 신청과 응답에 관한 기록이 보관되지 않은 경우</v>
          </cell>
          <cell r="E24" t="str">
            <v>A6) Non-discrimination</v>
          </cell>
          <cell r="F24" t="str">
            <v>Provision of prayer space(applicable religion)</v>
          </cell>
          <cell r="G24" t="str">
            <v>ㆍPriority : Reasonable Religious accommodation request applications are submitted, but the request is refused by management without justification.
ㆍMajor   : ① No policy or adequate Reasonable Religious Accommodation in place.
               ② Prayer/religious areas are provided but not safe, clean or adequate.
               ③ Reasonable Religious Accommodation requests are made, but not evaluated or decisions are not communicated to requestor/workers.
ㆍMinor  : Reasonable Religious Accommodation records (application and responses) are not kept.
※ Required Documents and Records
   - Pre-employment, pre-placement medical examination requirements
- Medical confidentiality procedure and practice
- Information on workers population (type (contract/temporary/permanent), gender, function, ethnicity (place of origin), age,..)
- Current job advertisements and qualifications
- Function and position descriptions</v>
          </cell>
          <cell r="H24" t="str">
            <v>A6)非歧视</v>
          </cell>
          <cell r="I24" t="str">
            <v>提供宗教活动场所(除外中国)</v>
          </cell>
          <cell r="J24" t="str">
            <v>• Priority : 宗教活动邀请被无辜拒绝
• Major  : ① 无政策，没有提供宗教活动场所
             ② 提供宗教活动场所，但不确保安全且不整洁
             ③ 收到合理的宗教活动场所，但对此没有进行评价.且没有通知相关员工
• Minor  : 合理的宗教活动申请无记录
[提供的基本文档和记录]
• 雇佣前、入职前的医疗检查要求
• 医疗保密程序和惯例
• 有关工人分布（类型（合同/临时/永久）、性别、职能、民族（籍贯）、年龄，...）的信息
• 当前的工作广告和资格
• 职能和职位的描述</v>
          </cell>
        </row>
        <row r="25">
          <cell r="B25" t="str">
            <v>A7) 결사의 자유</v>
          </cell>
          <cell r="C25" t="str">
            <v>노조 설립/가입 자유 보장</v>
          </cell>
          <cell r="D25" t="str">
            <v>ㆍMajor : ① 회사의 커뮤니케이션에 결사의 자유가 금지됨
            ② 근로자의 노동 조합 결성이나 가입 권리를 존중하는 일반 정책들 내에 구체적인 내용이 없는 경우
            ③ 회사가 근로자 결사의 자유를 방해했다는 불만이나 법적 발견사항이 해결 조치되지 않은 경우
            ④ 회사가 노조를 통제하거나 통제를 시도하는 경우
            ⑤ 회사가 노조, 노조 집행부 또는 노조 멤버에게 자금 또는 다른 가치있는 물품을 제공한 증거가 있는 경우
ㆍMinor  : 결사의 자유에 관한 정책/소통이 근로자에게 전달되지 않았거나 이해할 수 없는 언어로 전달된 경우</v>
          </cell>
          <cell r="E25" t="str">
            <v>A7) Freedom of Association</v>
          </cell>
          <cell r="F25" t="str">
            <v>Guarantee of enrolling in a trade union of worker’s own free will</v>
          </cell>
          <cell r="G25" t="str">
            <v xml:space="preserve">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
</v>
          </cell>
          <cell r="H25" t="str">
            <v>A7)结社自由</v>
          </cell>
          <cell r="I25" t="str">
            <v>保障工会设立/加入自由</v>
          </cell>
          <cell r="J25" t="str">
            <v>ㆍMajor   : ① 公司沟通渠道禁止结社自由
               ② 尊重员工加入工会政策的具体内容
               ③ 公司妨碍员工加入工会且未解决
               ④ 公司管理工会或试图管理
               ⑤ 公司贿赂给会或工会委员的证据
ㆍMinor  : 结社自由政策未对员工进行传达或未使用简单易懂的语言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6">
          <cell r="B26" t="str">
            <v>A7) 결사의 자유</v>
          </cell>
          <cell r="C26" t="str">
            <v>단체교섭 권리 보장</v>
          </cell>
          <cell r="D26" t="str">
            <v>ㆍMajor  : ① 단체교섭협약(CBA) 미준수, 경영진의 개선 조치활동 증거 미보유
             ② 단체교섭 금지 증거 확인
ㆍN/A    : 단체 교섭 협약 없음</v>
          </cell>
          <cell r="E26" t="str">
            <v>A7) Freedom of Association</v>
          </cell>
          <cell r="F26" t="str">
            <v>Guarantee of the right of collective bargaining</v>
          </cell>
          <cell r="G26" t="str">
            <v>ㆍMajor   : ① Material elements of the CBA are not upheld and there is no evidence that management is taking action to remediate;
               ② Evidence that the CBA process is prohibited
ㆍN/A      : No CBA in place.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6" t="str">
            <v>A7)结社自由</v>
          </cell>
          <cell r="I26" t="str">
            <v>保障团体交涉权利</v>
          </cell>
          <cell r="J26" t="str">
            <v>ㆍPriority : N/A
ㆍMajor  : ① 未遵守集体交涉，公司高层的改善措施无证据
              ② 确认禁止集体交涉的证据                                                                    
ㆍN/A    : 无集体交涉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7">
          <cell r="B27" t="str">
            <v>A7) 결사의 자유</v>
          </cell>
          <cell r="C27" t="str">
            <v>평화적 집회 권리 보장</v>
          </cell>
          <cell r="D27" t="str">
            <v>ㆍMajor   : ① 정책이 평화로운 집회의 권리를 인정해 주지 않거나 실제로 이를 지지하지 않은 경우
             ② 회사의 전달(알림)이 평화적 집회의 권리를 금지하는 경우
ㆍMinor   : 평화적 집회의 권리에 관해 근로자들에게 알리나, 근로자들이 이해할 수 있는 언어로 알리지 않는 경우</v>
          </cell>
          <cell r="E27" t="str">
            <v>A7) Freedom of Association</v>
          </cell>
          <cell r="F27" t="str">
            <v>Guarantee of the right of peaceful assembly</v>
          </cell>
          <cell r="G27" t="str">
            <v>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7" t="str">
            <v>A7)结社自由</v>
          </cell>
          <cell r="I27" t="str">
            <v>保障文明集会权利</v>
          </cell>
          <cell r="J27" t="str">
            <v>ㆍMajor   : ① 政策不认可和平集会的权利或者实际上不支持的情况
               ② 公司的传达（告知）禁止和平集会的权利
ㆍMinor   : 告知和平集会的权利，但未使用劳工可理解的语言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8">
          <cell r="B28" t="str">
            <v>A7) 결사의 자유</v>
          </cell>
          <cell r="C28" t="str">
            <v>조합원 차별 금지</v>
          </cell>
          <cell r="D28" t="str">
            <v>ㆍMajor :  ① 차별을 보고하고 해결하는 메커니즘이 비효율적임(2건 이상 사례)
             ② 급여 차이, 승진, 교육, 징계, 채용 및 해고 기록이 근로자의 노동 조합 결성이나 가입을 장려 또는 좌절시키거나, 
                 그렇게 하지 않도록 근로자를 장려 또는 좌절시킴
ㆍMinor : 차별을 보고하고 해결하는 메커니즘이 비효율적인 1건의 사례가 존재
ㆍN/A    : 노동조합이나 근로자 대표가 없는 경우</v>
          </cell>
          <cell r="E28" t="str">
            <v>A7) Freedom of Association</v>
          </cell>
          <cell r="F28" t="str">
            <v>Prohibition of discrimination on union members</v>
          </cell>
          <cell r="G28" t="str">
            <v>ㆍMajor   : ① Mechanism to report and resolve discrimination is ineffective (two or more cases)
               ② Differences in pay; promotion; training; discipline; hiring and termination records encourage or discourage workers from forming
                   or joining a trade union, or encourage or discourage workers to refrain from doing so
ㆍMinor  : One case exists where the mechanism to report and resolve discrimination is ineffective.
ㆍN/A    : No union (not unionized) or worker representative
※ Required Documents and Records
   - Information provided to workers describing local laws and regulations pertaining to freedom of association and labor unions
   - Policy and procedure on grievance mechanisms and statistics for last 12 months, actions taken (and communicated to workers)
- Minutes of worker meetings and/or union-management meetings
- Evidence of regular communications and feedback channels with workers to hear their issues and bring appropriate resolutions
- Records of workers complaints and actions taken (and communicated to workers)</v>
          </cell>
          <cell r="H28" t="str">
            <v>A7)结社自由</v>
          </cell>
          <cell r="I28" t="str">
            <v xml:space="preserve">工会或员工代表与非工会员工之间不平等待遇
</v>
          </cell>
          <cell r="J28" t="str">
            <v>ㆍMajor :  ① 差别报告解决的结构非效率性 (2个以上事例)
              ② 工资差异, 晋升, 教育, 惩戒, 招聘 及 解除 记录奖励或者阻挠劳动者结社或者加入和不加入的劳动者
ㆍMinor : 存在报告和解决差别的机制不效率的1件事例
ㆍN/A    : 工会或者 劳工代表 无
[提供的基本文档和记录]
• 向工人提供的信息，描述有关结社自由和工会的当地法规
• 过去 12 个月有关申述机制和统计的政策和程序、采取（及向工人传达）的行动
• 工人会议及/或工会管理会议的会议记录
• 为了听取工人的问题并采取适当的解决方案而与工人建立的定期沟通和反馈渠道的证据
• 有关工人投诉和采取（和传达）的行动的记录</v>
          </cell>
        </row>
        <row r="29">
          <cell r="B29" t="str">
            <v>B1) 산업안전</v>
          </cell>
          <cell r="C29" t="str">
            <v>산업안전 인허가</v>
          </cell>
          <cell r="D29" t="str">
            <v>Major
   다음 사항중 2개 이상 해당:
    1. '안전관리자'를 선임하지 않거나, 위탁계약을 하지 않음
    2. '보건관리자'를 선임하지 않거나, 위탁계약을 하지 않음
    3. 안전보건 관리의무를 가진 '관리감독자'를 지정하지 않음
    4. 안전보건 업무를 총괄하는 '안전보건관리책임자' 및 '안전보건총괄책임자'를 선임하지 않음
    6. 전기, 소방, 환경, 운반설비(지게차, 승강기 등) 자격 보유자를 확보하지 않음
    7. 인프라 설비(보일러, 냉동기, 가스) 안전관리자를 선임하지 않음
    8. 사내도급에 대해 정기협의체를 구성하지 않고, 순회점검을 실시하지 않음 
Minor
   Major 평가 항목중 1개 이상 해당
Not Applicable
   안전보건 관리자 선임의무가 없음 
Conformance
   안전관리자, 보건관리자 및 시설Infra관련 선임 또는 위탁관리 계약 유지됨
[ Reference ]
* (한국기준) '안전관리자', '보건관리자' 위탁 기준
                - 상시근로자 300명 미만인 경우 안전, 보건 위탁관리 가능 
* (한국기준) 인프라 설비(보일러, 냉동기, 가스) 안전관리자 선임 기준
                - 보일러 최고사용압력 0.1MPa 초과
                  냉동능력 300톤 초과시 안전관리원 2명 이상, 50톤~300톤 1명이상 
                  고압가스 4,000톤/월 초과시 안전관리책임자 1명 이상 
* (한국기준) 사내도급사 안전보건 정기협의체 : 1회/월
                                           순회점검   : 격일, 합동점검 : 1회/분기</v>
          </cell>
          <cell r="E29" t="str">
            <v>B1) Occupational Safety</v>
          </cell>
          <cell r="F29" t="str">
            <v>License &amp; Permission in Industrial Safety</v>
          </cell>
          <cell r="G29" t="str">
            <v xml:space="preserve">Major
   Two or more of the following applicable:
    1. No 'safety manager' appointed or no consignment contract entered
    2. No 'health manager' appointed or no consignment contract entered
    3. No ‘management supervisor’ charged with safety and health management designated
    4. No ‘safety and health management supervisor’ or ‘general safety and health supervisor’ in charge of health and safety work appointed
    6. No persons with electric, fire safety, environment, transportation equipment (fork lift, elevator, etc.) qualification procured
    7. No infrastructure equipment (boiler, freezer, gas) safety manager appointed
    8. No regular consultative group for in-company contracting organized, and walk-around inspection not conducted 
Minor
   One or more of the major evaluation items applicable
Not Applicable
   Not required to appoint safety and health manager
Conformance
   Appointed safety manager, health manager, or facility infrastructure manager, or maintained consigned management contract
[ Reference ]
* (Korean standards) Based on ‘safety manager’ and ‘health manager’ consignment
                - When less than 300 full-time employees, safety and health can be consigned for management
* (Korean standards) Standards for appointing infrastructure equipment (boiler, freezer, gas) safety manager
                - Boiler max usage pressure exceeds 0.1MPa
                  When freezing capacity exceeds 300 tons, 2 or more safety managers, 50-300 tons, 1 or more 
                  When high-pressure gas exceeds 4,000 tons/month, 1 or more safety management supervisor 
* (Korean standards) In-company contractor safety and health regular consultative body: once/month
                                           Walk-around inspection: every other day, joint inspection: once/quarter  
</v>
          </cell>
          <cell r="H29" t="str">
            <v>B1)产业安全</v>
          </cell>
          <cell r="I29" t="str">
            <v>产业安全许可</v>
          </cell>
          <cell r="J29" t="str">
            <v xml:space="preserve">Major
   在下列各项中满足两个以上：
    1. 没有任命‘安全管理员’或没有签订委托协议。
    2. 没有任命‘保健管理员’或没有签订委托协议。
    3. 没有指定具有安全保健管理义务的‘管理监督员’。
    4. 没有任命总管安全保健业务的‘安全保健管理负责人’和‘安全保健总负责人’。
    6. 没有确保拥有电气、消防、环境、搬运设备(叉车, 升降机等)相关资格的人。
    7. 没有任命基础设施设备(锅炉、制冷机、其他)安全管理员。
    8. 对内部承包没有成立定期协议会，没有进行巡回检查。 
Minor
   在Major评估项中满足一个以上。
Not Applicable
   无需任命安全保健管理员。 
Conformance
   维持有关安全管理员、保健管理员以及设施Infra的任命或委托管理协议。
[Reference]
* (韩国标准) 安全管理员和保健管理员委托标准
                - 正式员工不到300名时可以对安全和保健进行委托管理。 
* (韩国标准) 基础设施设备(锅炉、制冷机、其他)安全管理员任命标准
                - 锅炉最高压力超过0.1MPa、
                  冷冻能力超过300吨时设两名以上安全管理员，冷冻能力为50吨～300吨时设一名以上安全管理员。 
                  高压气体超过4,000吨/月时设一名以上安全管理负责人。 
* (韩国标准) 内部承包安全保健定期协议会：1次/月
                                           巡回检查：隔日进行，联合检查：1次/季度  
</v>
          </cell>
        </row>
        <row r="30">
          <cell r="B30" t="str">
            <v>B1) 산업안전</v>
          </cell>
          <cell r="C30" t="str">
            <v>안전한 작업장 설계 및 통제</v>
          </cell>
          <cell r="D30" t="str">
            <v>Priority
   다음 사항중 1개 이상 해당:
   1. 위험성평가를 실시하지 않음
       * 생산공정(작업자 화학물질 노출 포함) 및 생산과 직접 관련이 없는 모든 부서, 지역 전반
   2. 유해위험공정을 확인하였으나 사고예방을 위한 안전작업지침 수립 등 안전상의 조치를 취하지 않음
   3. 전기설비 시공관리기준 부적합 사례 3개소 이상, 전기사고 위험도가 매우 높음 
       * 시공관리 기준 : ① 분전반 충전부 격리, ② 개구부 마감, ③ 접지, ④ 난잡배선, ⑤ 전선관 미사용, ⑥플라스틱 환풍기 
   4. 유틸리티설비 공급전원 부적합 1개소 이상으로 전기설비사고 발생시 즉시 공장가동 중단 위험이 있음
Major
   다음 사항중 1개 이상 해당:
   생산공정(작업자 화학물질 노출 포함) 및 생산과 직접 관련이 없는 모든 부서, 지역 전반위험성평가를 실시하였으나 
   안전사고 예방을 위한 관리절차, 점검절차를 수립, 운영하지 않음
   1. 밀폐공간 작업 프로그램
   2. 용접, 용단 등 화기작업
   3. 차량계 하역운반기계(지게차) 사용계획서, 중량물 작업계획서(크레인, 호이스트)
   4. 전기작업
   5. 위험에너지관리(Lockout/Tagout) *산업안전보건기준에관한규칙 제92조(정비 등의 작업 시의 운전정지 등)
   6. 고소작업 
   7. 분전반 등 전기설비 시공관리 부적합 사례 2개소 이상
Minor
   다음 사항중 1개 이상 해당
   위험성평가를 실시하고 안전사고 예방을 위한 관리절차, 점검절차를 수립하여 운영중이나 
   현장 점검시 절차를 위반하거나 위험요인이 노출된 사례가 확인됨
   (Major 평가항목중 7개 관리, 점검절차 기준)
Not Applicable
   해당없음
Conformance
   유해위험공정에 대한 위험성 평가를 실시하고
   유해위험요인 관리를 위한 절차를 누락없이 수립하여 운영함</v>
          </cell>
          <cell r="E30" t="str">
            <v>B1) Occupational Safety</v>
          </cell>
          <cell r="F30" t="str">
            <v>Design and Control of Safe workplaces</v>
          </cell>
          <cell r="G30" t="str">
            <v>Priority
   One or more of the following applicable:
   1. Risk assessment not performed
       * All departments and regions not directly related to production process (including exposure of workers to chemical substances) and production
   2. Harmful and dangerous processes checked, but no safety measures such as establishing safe work guidelines to prevent accidents applied
   3. Three or more nonconformities for electric equipment construction management standards, very high risk of electric accidents
       * Construction management standards: ① isolate charging part of panel board, ② finishing of openings, ③ grounding, ④ disorderly wiring, ⑤ non-use of conduits, ⑥ plastic ventilators 
   4. When there is 1 or more nonconformities of power supplied to utility equipment, there is the risk of immediate stopping of plant operation
Major
   One or more of the following applicable:
   Performed risk assessment for all departments and regions not directly related to production process (including exposure of workers to chemical substances), but did not establish and operate management procedures and inspection procedures for preventing safety accidents
   1. Sealed space work program
   2. Work using fires such as welding and fusing
   3. Vehicle-type loading and transportation equipment (forklift) usage plans, heavy object work plans (crane, hoist)
   4. Electricity work
   5. Dangerous energy management (Lockout/Tagout) *Rules on Industrial Safety and Health Standards Article 92 (Stopping Operation, Etc. during Operation such as Maintenance)
   6. High-altitude work 
   7. Two or more installation management nonconformities such as for panel boards
Minor
   One or more of the following applicable
   Danger assessments are performed and management procedures and inspection procedures were established and are being operated to prevent safety accidents, but there were cases in which procedures were violated or risk factors were exposed during on-site inspections 
   (Managing 7 of major evaluation items, based on inspection procedures)
Not Applicable
   Not applicable
Conformance
   Danger assessments performed for harmful and dangerous procedures, and procedures for managing harmful and dangerous procedures established and operated without any omissions</v>
          </cell>
          <cell r="H30" t="str">
            <v>B1)产业安全</v>
          </cell>
          <cell r="I30" t="str">
            <v>作业安全</v>
          </cell>
          <cell r="J30" t="str">
            <v>Priority
   在下列各项中满足一个以上：
   1. 未实施危险性评估。
       * 生产工序(包括作业人员接触化学物质)及与生产没有直接关联的所有部门、整个区域
   2. 虽然确认了有害危险工序，但没有采取制定预防事故的安全作业指导书等安全措施。
   3. 三个以上不符合电气设备施工管理标准的事例，电气事故危险度非常高。 
       * 施工管理标准：① 配电盘充电部分隔离；② 开口部分的表面处理；③ 接地；④ 配线杂乱；⑤ 未使用电线管；⑥ 塑料排风扇 
   4. 公用设备供电有一处以上不合格的地方，发生电气设备事故事故时存在立即中断工厂运行的危险。
Major
   在下列各项中满足一个以上：
   对生产工序(包括作业人员接触化学物质)及与生产没有直接关联的所有部门、整个区域实施了危险性评估， 
   但没有制定和运营预防安全事故的管理流程、检查流程。
   1. 密闭空间作业程序
   2. 焊接、熔断等动火作业
   3. 车辆类装卸搬运机械(叉车)使用计划、重物作业计划(起重机、吊车)
   4. 电气作业
   5. 危险能量管理(Lockout/Tagout) * 关于产业安全保健标准的规则第92条(进行维修等作业时停止运行等)
   6. 高处作业 
   7. 两个以上配电盘等电气设备施工管理不合格事例
Minor
   在下列各项中满足一个以上
   虽然实施危险性评估并制定和运营预防安全事故的管理流程、检查流程， 
   但进行现场检查时确认违反流程或暴露于危险因素的事例。
   (以Major评估项目中的七个管理、检查流程为准)
Not Applicable
   不适用
Conformance
   对有害危险工序进行危险性评估，
   无遗漏地制定和运营有害危险因素管理流程。</v>
          </cell>
        </row>
        <row r="31">
          <cell r="B31" t="str">
            <v>B1) 산업안전</v>
          </cell>
          <cell r="C31" t="str">
            <v>개인보호장비 제공 및 착용</v>
          </cell>
          <cell r="D31" t="str">
            <v>Priority
   1. 보호구지급 기준서 또는 지급대장 없음
   2. 유해요인으로 인해 작업자에게 건강상의 영향이 명확한 공정에서 근무하는작업자에게 
      보호구를 지급하지 않아 작업자들에 즉각적인 건강위험이 있음
     - (필수)유해화학물질 취급공정에 화학(호흡기 등)보호구 미지급, 미착용
Major
   다음 사항중 1개 이상 해당:
   1. 보호구 지급대상 선정을 위한 평가(화학물질 노출에 의한 유해성 등)를 실시하지 않고, 
      유해위험공정별 보호구 지급기준을 수립하지 않음
   2. 보호구가 필요한 공정의 작업자에게 보호구를 지급한 기록은 있으나 작업자들이 착용하지 않아 건강위험이 있음 
     - 창고 또는 지게차 사용 공정에 안전화
     - 작업환경측정결과 소음수준 90dB이상 공정에 청력보호구
     - 기타 유해물질발생공정 작업자에게 적절한 보호구
   3. 보호구 관리상태가 불량하거나, 보관함을 설치하지 않아 보호구 착용의 효과를 보장할 수 없음
     - 방독필터 개봉일자 미기록 등
   4. 보호구는 지급했으나 작업자가 착용하지 않음
Minor
   유해위험공정의 작업자들이 적절한 보호구를 착용하고 있으나, 신규공정 도입 또는 
   공정 및 작업변경 발생시 적정한 보호구를 선정하는 프로세스는 수립하지 않음
Not Applicable
   개인보호구 지급, 착용이 필요한 공정이 없음
Conformance
   1. 유해위험공정에 작업자의 보호구 착용공정 선정을 위한 평가(화학물질 노출에 의한 유해성 등) 
      및 보호구관리 프로세스를 수립하여 운영중임
   2. 유해위험공정의 작업자들이 적절한 보호구를 착용하고 있음
   3. 보호구 지급 기준서(보호구 인증서 포함) 또는 지급대장 기록관리 하고 있음
(필수) ⑤ 화학물질 공정 보호구 지급/착용</v>
          </cell>
          <cell r="E31" t="str">
            <v>B1) Occupational Safety</v>
          </cell>
          <cell r="F31" t="str">
            <v>personal protective equipment</v>
          </cell>
          <cell r="G31" t="str">
            <v>Priority
   1. No protective equipment supply standards or supply registry
   2. Protective equipment not supplied to worker at a process where there is clear health impacts due to harmful factors, thus causing immediate health risks to workers
     - (Mandatory) Did not supply or wear chemical (respiratory, etc.) protective equipment in processes handling harmful chemical substances
Major
   One or more of the following applicable:
   1. Did not perform evaluation (hazards, etc. due to exposure to chemical substances) for selecting persons subject to receiving protective equipment, and did not establish protective equipment supply standards per harmful or dangerous processes
   2. There are records of supplying workers with protective equipment in processes that require such equipment, but workers did not wear it, thus having health risks 
     - Safety shoes for processes in warehouses or using forklifts
     - Hearing protection for processes with noise levels found to be over 90dB according to work environment noise measurements
     - Appropriate protective equipment for workers in processes having other harmful substances
   3. Protective equipment management status is poor, or storage box not installed, thus being unable to ensure effects of wearing equipment
     - Gas filter opening date not recorded, etc.
   4. Protective equipment provided, but not worn by worker
Minor
   Workers in harmful and dangerous processes wear appropriate protective equipment, but there is no process for selecting appropriate protective equipment when introducing new processes or when there are change in processes or work
Not Applicable
   No process for supplying and wearing personal protective equipment
Conformance
   1. Established and operating evaluation (hazards due to exposure to chemical substances, etc.) and protective equipment management process for selecting processes to wear protective equipment in the harmful and dangerous processes
   2. Workers in harmful and dangerous processes wear appropriate protective equipment
   3. Managing protective equipment supply standards (including protective equipment certifications) or supply registries
(Mandatory) ⑤ Supply/wear chemical substance process protective equipment</v>
          </cell>
          <cell r="H31" t="str">
            <v>B1)产业安全</v>
          </cell>
          <cell r="I31" t="str">
            <v>劳保用品管理</v>
          </cell>
          <cell r="J31" t="str">
            <v>Priority
   1. 没有防护用品发放标准或发放登记簿。
   2. 因没有向在有害因素对作业人员健康的影响非常明确的工序上工作的作业人员发放防护用品， 
      作业人员存在健康风险。
     - (必须)在接触有害化学物质的工序未发放、未穿戴化学(呼吸器官等)防护用品。
Major
   在下列各项中满足一个以上：
   1. 没有进行选择发放防护用品对象的评估(接触化学物质造成的有害性等)，没有制定各有害危险工序的防护用品发放标准。
   2. 虽然有向在需要防护用品的工序工作的作业人员发放防护用品的记录，但是因作业人员没有穿戴，存在健康风险。 
     - 仓库或使用叉车的工序中使用的安全鞋
     - 在作业环境检测中噪音达到90dB以上的工序中使用的听力防护用品
     - 其他适合在产生有害物质的工序工作的作业人员的恰当的防护用品
   3. 防护用品的管理状态不良或因没有防护用品保管箱无法保证防护用品的穿戴效果。
     - 没有记录防毒滤芯启封日期等。
   4. 虽然发放防护用品，但作业人员没有穿戴。
Minor
   虽然在有害危险工序工作的作业人员穿戴恰当的防护用品，但没有制定引进新的工艺或
   变更工序、作业时选择恰当的防护用品的流程。
Not Applicable
   没有需要发放、穿戴个人防护用品的工序。
Conformance
   1. 为了选择在有害危险工序中需要作业人员穿戴防护用品的工序进行评估(接触化学物质造成的有害性等)及 
      制定和运营防护用品管理流程。
   2. 在有害危险工序工作的作业人员穿戴恰当的防护用品。
   3. 记录和管理防护用品发放标准(包括防护用品认证证书)或发放登记簿。
(必须) ⑤ 接触化学物质的工序发放和穿戴防护用品。</v>
          </cell>
        </row>
        <row r="32">
          <cell r="B32" t="str">
            <v>B1) 산업안전</v>
          </cell>
          <cell r="C32" t="str">
            <v>임산부 안전보건 작업 리스크 최소화</v>
          </cell>
          <cell r="D32" t="str">
            <v xml:space="preserve">Priority
   다음 사항중 2개 이상 해당:
   1. 임산부 관련 방침이 없거나 인사규정에 명시되지 않음
       √ (한국) 임신여성 근로자 임신 12주 이내 또는 36주 이후 1일 2hr 근로시간 단축 제도 시행 (신청시) 
       √ (한국) 생후 1년 미만 유아를 가진 여성 근로자는 1일 2회 각각 30분 유급 수유(유축) 시간 부여 
   2. 임산부, 태아 대상 유해위험성 평가를 실시하지 않아 임산부 본인, 태아 건강에 위험이 명확한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Major
   다음 사항중 1개 이상 해당:
   1. 임산부 관련 방침이 없거나 인사규정에 명시되지 않음
   2. 임산부, 태아 대상 유해위험성 평가를 실시하지 않아 임산부 본인, 태아 건강에 즉각적인 위험이 있는 공정에 근무함
   3. 임산부를 위한 적절한 휴게공간을 제공하지 않음
      √ 출산후 1년간 적절한 휴게시간 제공
      √ 다른 사람의 방해를 받지 않고 내부가 들여다 보이지 않는 휴게공간 제공 (의자, 냉장고, 식수대/정수기 설치) 
Minor
   다음 사항중 1개 이상 해당:
   1. 임산부 관련 방침을 수립하였으나 임산부 보호를 위한 내용이 충분하지 않음
   2. 임산부 대상의 위험성 평가를 실시하였으나 위험요인이 누락되거나 위험요인을 경감하기 위한 조치중 일부가 누락됨
   3. 산부를 위한 휴게실을 설치하였으나 독립된 공간이 아니거가 외부로부터의 프라이버시가 확보되지 않음
Not Applicable
   공정/작업장내 여성 작업자 없음
Conformance
   1. 임산부 관련 방침 및 인사규정에 명시되어 있음
   2. 임산부 대상 위험성 평가를 실시하고 작업변경 등 적절한 조치를 취하고 있음
   3. 휴게공간 및 충분한 휴게시간을 제공하고 있음
* 임산부 등의 사용 금지 직종
  1. 임신 중인 여성 
     1) 방사선작업종사자 등의 피폭방사선량이 선량한도를 초과하는 원자력 및 방사선 관련 업무
     2) 납, 수은, 크롬, 비소, 황린, 불소(불화수소산), 염소(산), 시안화수소(시안산), 2-브로모프로판, 아닐린, 수산화칼륨, 페놀, 에틸렌글리콜모노메틸에테르, 
        에틸렌글리콜모노에틸에테르, 에틸렌글리콜모노에틸에테르 아세테이트, 염화비닐, 벤젠 등 유해물질을 취급하는 업무
     3) 신체를 심하게 펴거나 굽히면서 해야 하는 업무 또는 신체를 지속적으로 쭈그려야 하거나 앞으로 구부린 채 해야 하는 업무
     4) 연속작업에 있어서는 5킬로그램 이상, 단속작업에 있어서는 10킬로그램 이상의 중량물을 취급하는 업무
     5) 임신 중인 여성의 안전 및 보건과 밀접한 관련이 있는 업무로서 고용노동부령으로 정하는 업무
  2. 산후 1년이 지나지 않은 여성
     1) 납, 비소를 취급하는 업무            2) 2-브로모프로판을 취급하거나 2-브로모프로판에 노출될 수 있는 업무
  3. 임산부가 아닌 여성
     1) 2-브로모프로판을 취급하거나 2-브로모프로판에 노출될 수 있는 업무
</v>
          </cell>
          <cell r="E32" t="str">
            <v>B1) Occupational Safety</v>
          </cell>
          <cell r="F32" t="str">
            <v>Maternity
Protection</v>
          </cell>
          <cell r="G32" t="str">
            <v xml:space="preserve">Priority
   Two or more of the following applicable:
   1. No policies related to pregnant women or not explicated in HR regulations
       √ (Korea) Implement system for reducing labor hours by 2 hours per day for pregnant laborers before 12 weeks of pregnancy or after 36 weeks in pregnancy (when applied for)
       √ (Korea) Female laborers with infants under the age of 1 year shall be given two 30-minute breaks for lactation per day 
   2. Harm and risk assessments for pregnant women and fetuses not performed, thus work in processes with clear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Major
   One or more of the following applicable:
   1. No policies related to pregnant women or not explicated in HR regulations
   2. Harm and risk assessments for pregnant women and fetuses not performed, thus work in processes with immediate dangers to the health of the pregnant mother and fetus
   3. Appropriate rest space not provided for pregnant women
      √ Provide appropriate rest time for one year after childbirth
      √ Provide rest area that others cannot interrupt or look into from the outside (install chairs, refrigerator, water fountain/purifier)
Minor
   One or more of the following applicable:
   1. There are policies related to pregnant women, but not enough contents for protecting pregnant women
   2. Risk assessment was performed for pregnant women, but risk factors are missing or some measures for mitigating risk factors are missing
   3. Rest area for new mothers installed, but they are not independent spaces or do not have privacy from the outside
Not Applicable
   No female workers in process/workplace
Conformance
   1. Policies related to pregnant women exist and explicated in HR regulations
   2. Risk assessments are conducted for pregnant women and appropriate measures are being taken such as changing duties, etc.
   3. Rest area and sufficient rest time is provided
* Jobs prohibiting employment of pregnant women, etc.
  1. Pregnant women 
     1) Work related to nuclear power and radiation with radiation exceeding the dose limit such as for workers involved with radiation
     2) Work handling harmful materials such as lead, mercury, chrome, arsenic, white phosphorous, fluorine (hydrofluoric acid), chlorine (acid), 2-bromopropane, aniline, potassium hydroxide, phenol, ethylene glycol monomethyl ether, ethylene glycol monoethyl ether, ethylene glycol monoethyl ether acetate, vinyl chloride, benzene, etc.
     3) Work that requires excessive stretching or bending of the body, or having to continuously crouch or work bending over
     4) Work of having to handle items weighing over 5kg in repeated work or items weighing over 10kg as singular work
     5) Work closely related to the safety and health of pregnant women prescribed by the order of the Ministry of Employment and Labor
  2. Women who have not passed 1 year since giving birth
     1) Work handling lead or arsenic            2) Work handling 2-bromopropane or exposed to 2-bromopropane
  3. Women who are not pregnant
     1) Work handling 2-bromopropane or exposed to 2-bromopropane
</v>
          </cell>
          <cell r="H32" t="str">
            <v>B1)产业安全</v>
          </cell>
          <cell r="I32" t="str">
            <v>母性保护</v>
          </cell>
          <cell r="J32" t="str">
            <v xml:space="preserve">Priority
   在下列各项中满足两个以上：
   1. 没有有关孕妇的政策或在人事规定上没有明示。
       √ (韩国)实施怀孕的女性劳动者在怀孕12周以内或怀孕36周以后把一天的工作时间缩短两个小时的制度。(需申请) 
       √ (韩国)向有出生不满一年的新生儿的女性劳动者提供一天两次、每次30分钟的带薪哺乳(吸奶)时间。
   2. 因没有实施以孕妇、胎儿为对象的有害危险性评估，在对孕妇本人和胎儿的健康明确存在危险的工序工作。
   3. 没有为孕妇提供恰当的休息场所。
      √ 产后一年里提供适当的休息时间。
      √ 提供不受其他人妨碍且看不见内部的休息场所。(配备椅子、冰箱、饮水水池和净水器) 
Major
   在下列各项中满足一个以上：
   1. 没有有关孕妇的政策或在人事规定上没有明示。
   2. 因没有实施以孕妇、胎儿为对象的有害危险性评估，在对孕妇本人和胎儿的健康立即产生危险的工序工作。
   3. 没有为孕妇提供恰当的休息场所。
      √ 产后一年里提供适当的休息时间。
      √ 提供不受其他人妨碍且看不见内部的休息场所。(配备椅子、冰箱、饮水水池和净水器) 
Minor
   在下列各项中满足一个以上：
   1. 虽然制定了有关孕妇的政策，但是保护孕妇的内容不够充分。
   2. 虽然实施了以孕妇为对象的危险性评估，但是遗漏危险因素或遗漏一些减轻危险因素的措施。
   3. 虽然为产妇设了休息室，但是不是独立的场所或不能从外部保障隐私。
Not Applicable
   在工序和作业场所内没有女性作业人员。
Conformance
   1. 有有关孕妇的政策或在人事规定上明示。
   2. 以孕妇为对象实施危险性评估并采取变更作业等恰当的措施。
   3. 提供休息场所及足够的休息时间。
* 禁止孕妇等女性进行的工作
  1. 怀孕女性 
     1) 放射线作业从事人员等辐射量超过剂量限值的原子能和放射线相关业务
     2) 处理铅、汞、铬、砷、黄磷、氟(氢氟酸)、氯(盐酸)、氰化氢(氰酸)、2-溴丙烷、苯胺、氢氧化钾、苯酚、乙二醇甲醚、 
        乙二醇乙醚、乙二醇乙醚醋酸酯、氯乙烯、苯等有害物质的业务
     3) 严重弯曲和伸展身体的业务，持续以蹲着或前倾的姿势进行的业务
     4) 连续作业中处理五公斤以上重物的业务，单个作业中处理十公斤以上重物的业务
     5) 与怀孕女性的安全和保健密切相关的以雇佣劳动部法令规定的业务
  2. 产后不到一年的女性
     1) 处理铅、砷的业务            2) 处理或可能接触2-溴丙烷的业务
  3. 孕妇以外女性
     1) 处理或可能接触2-溴丙烷的业务
</v>
          </cell>
        </row>
        <row r="33">
          <cell r="B33" t="str">
            <v>B2) 비상사태 대비</v>
          </cell>
          <cell r="C33" t="str">
            <v>비상사태 허가증 취득</v>
          </cell>
          <cell r="D33" t="str">
            <v>Major
   다음 사항중 1개 이상 해당
   1. 건축물 사용승인동의(완공검사)를 취득하지 못함(불법 건축물)
   2. 소방시설에 대한 법적 정기점검을 실시하지 않음
Minor
   다음 사항중 1개 이상 해당
   1. 공장건물 초기 건축시 건축물 사용승인동의(완공검사)를 취득하였으나, 증개축 부분에 대한 승인절차는 진행하지 않음
   2. 법적 정기점검을 실시하고 점검결과 문제점에 대한 보완을 시행하지 않음
Not Applicable
   해당없음
Conformance
   1. 건축물 및 소방인허가 취득(최신본 유지)
   2. 소방시설에대한 법적 정기점검을 실시하고 점검결과 문제점에 대한 보완을 시행함
       (한국) 법적 정기점검은 전문기관 위탁을 통해 시행함</v>
          </cell>
          <cell r="E33" t="str">
            <v>B2) Emergency Preparedness</v>
          </cell>
          <cell r="F33" t="str">
            <v>Acquisition of emergency license</v>
          </cell>
          <cell r="G33" t="str">
            <v>Major
   One or more of the following applicable
   1. Did not acquire authorization for use of building (completion inspection) (illegal building)
   2. Did not perform regular legal inspection for fire safety facilities
Minor
   One or more of the following applicable
   1. During initial construction of plant building, acquired authorization for use of building (completion inspection), but did not conduct approval procedures for rebuilding parts
   2. Regular legal inspections performed but supplementations for issues found through inspections not performed
Not Applicable
   Not applicable
Conformance
   1. Acquired building and fire safety authorization (maintain latest copy)
   2. Perform regular legal inspections for fire safety facilities and supplement issues found through inspection results
       (Korea) Regular legla inspections conducted by consigning a specialized institute</v>
          </cell>
          <cell r="H33" t="str">
            <v>B2)紧急事态应对</v>
          </cell>
          <cell r="I33" t="str">
            <v>消防许可及点检</v>
          </cell>
          <cell r="J33" t="str">
            <v>Major
   在下列各项中满足一个以上
   1. 没有获得建筑使用批准(完工检查)。(非法建筑)
   2. 没有实施对消防设施的法定定期检查。
Minor
   在下列各项中满足一个以上
   1. 虽然在初期建设工厂建筑时获得了建筑使用批准(完工检查)，但是没有对扩建、改建部分办理批准程序。
   2. 虽然实施了法定定期检查，但没有对通过检查发现的问题进行改正。
Not Applicable
   不适用
Conformance
   1. 获得建筑和消防许可。(保持最新版本)
   2. 对消防设施实施法定定期检查，并对通过检查发现的问题进行改正。
       (韩国)法定定期检查须委托专业机构进行。</v>
          </cell>
        </row>
        <row r="34">
          <cell r="B34" t="str">
            <v>B2) 비상사태 대비</v>
          </cell>
          <cell r="C34" t="str">
            <v>소방시설 구비</v>
          </cell>
          <cell r="D34" t="str">
            <v>Priority
   다음 사항중 1개 이상 해당
   1. (필수)화재위험공정에 자동소화설비(스프링클러 등) 미설치 및 건축자재로 불연재 미사용
   2. 일반공정 건축자재로 가연재(스티로폼, 우레탄 등)를 사용
   3. 자동기동 방식의 소방펌프를 수동운전상태 유지 또는 고장 상태 방치
   4. (필수)공정내 자동화재탐지설비 미설치
Major
   다음 사항중 2개 이상 해당
   1. 자동소화설비, 자동화재탐지설비, 경보/방송설비를 모두 설치하였으나 월 1회 일상점검 미실시
   2. 자동소화설비, 자동화재탐지설비, 경보/방송설비를 모두 설치하였으나 전체 설비의 2개 이하 항목 부적합
   3. 일반공정 건축자재로 난연재를 사용
   4. 소화기, 소화전 등 월 1회 점검 미실시 3개 이상
Minor
   다음 사항중 1개 이상 해당
   1. 자동소화설비, 자동화재탐지설비, 경보/방송설비를 모두 설치하였으나 월 1회 일상점검 미실시
   2. 자동소화설비, 자동화재탐지설비, 경보/방송설비를 모두 설치하였으나 전체 설비의 1개 항목 부적합
   3. 소화기, 소화전 등 월 1회 점검 미실시 2개 이하
Not Applicable
   해당없음
Conformance
   1. 소방설비 법적검사 및 1회/월 자체검사
   2. 화재위험공정에 자동소화설비 설치 및 건축자재로 불연재 사용, 일반공정 건축자재로 불연재, 준불연재 사용
   3. 자동화재탐지설비 설치 및 정상동작
   4. 모든 소방관련 설비가 정상 작동되며 이상 없음
* 화재위험공정 : 도장, 도료혼합, 고무, 도금, EPS, 종이Box
(필수) ① 화재위험공정 불연재 및 자동소화설비 설치 여부
(필수) ② 법적대상 건물 자동화재탐지설비(감지기) 설치 및 정상동작</v>
          </cell>
          <cell r="E34" t="str">
            <v>B2) Emergency Preparedness</v>
          </cell>
          <cell r="F34" t="str">
            <v>Fire-fighting facilities</v>
          </cell>
          <cell r="G34" t="str">
            <v>Priority
   One or more of the following applicable
   1. (Mandatory) Automated fire extinguishing equipment (sprinklers, etc) not installed in fire risk process and nonflammable construction materials not used
   2. Inflammable materials (Styrofoam, urethane, etc.) used for construction material in general process
   3. Maintain manual operation status for automatic firefighting pump or leave broken
   4. (Mandatory) Auto fire detection equipment not installed in process
Major
   Two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two or less of all equipment found to be nonconforming
   3. Use incombustible materials for construction materials in general process
   4. 3 or more fire extinguishers, fire hydrants, etc. not inspected monthly
Minor
   One or more of the following applicable
   1. Automatic fire extinguishing equipment, auto fire detection equipment, alarm/broadcasting equipment all installed, but not inspected at least once a month
   2. Automatic fire extinguishing equipment, auto fire detection equipment, alarm/broadcasting equipment all installed, but one found to be nonconforming
   3. 2 or less fire extinguishers, fire hydrants, etc. not inspected monthly
Not Applicable
   Not applicable
Conformance
   1. Legally required inspection and monthly self-inspection of fire safety equipment
   2. Install auto fire extinguishing equipment in processes with fire risks, use incombustible materials for construction materials, use incombustible construction materials or semi-incombustible materials for general processes
   3. Auto fire detection equipment installation and normal operation
   4. All fire safety-related equipment operates normally and have no issues
* Process with risk of fire: Painting, paint mixing, rubber, plating, EPS, paper box
(Mandatory) ① Use of incombustible materials and installation of auto fire extinguishing equipment in process with risk of fire
(Mandatory) ② Installation and normal operation of auto fire detection equipment (detector) of buildings required by law</v>
          </cell>
          <cell r="H34" t="str">
            <v>B2)紧急事态应对</v>
          </cell>
          <cell r="I34" t="str">
            <v>火灾传感器设置</v>
          </cell>
          <cell r="J34" t="str">
            <v>Priority
   在下列各项中满足一个以上
   1. (必须)在有火灾危险的工序没有安装自动灭火装置(喷水器等)及建筑材料没有使用不燃材料。
   2. 普通工序的建筑材料使用可燃材料(聚苯乙烯泡沫板、聚氨酯等)。
   3. 把自动启动方式消防水泵设为手动运行或出现故障的水泵没有进行修理。
   4. (必须)在工序内没有安装自动火灾探测设备。
Major
   在下列各项中满足两个以上
   1. 虽然自动灭火装置、自动火灾探测设备、警报和广播设备全部安装，但是没有进行每月一次实施的日常检查。
   2. 虽然自动灭火装置、自动火灾探测设备、警报和广播设备全部安装，但是全体设备有两个以下的项目不合格。
   3. 普通工序的建筑材料使用阻燃材料。
   4. 三个以上灭火器、消火栓等设备没有进行每月一次实施的检查。
Minor
   在下列各项中满足一个以上
   1. 虽然自动灭火装置、自动火灾探测设备、警报和广播设备全部安装，但是没有进行每月一次实施的日常检查。
   2. 虽然自动灭火装置、自动火灾探测设备、警报和广播设备全部安装，但是全体设备有一个项目不合格。
   3. 两个以下灭火器、消火栓等设备没有进行每月一次实施的检查。
Not Applicable
   不适用
Conformance
   1. 消防设备进行法定检查及每月一次实施自我检查。
   2. 在有火灾危险的工序安装自动灭火装置及建筑材料使用不燃材料，普通工序的建筑材料使用不然材料和准不燃材料。
   3. 安装自动火灾探测设备及正常运行。
   4. 所有消防相关设备均正常运行且无异常。
* 有火灾危险的工序：涂装、涂料混合、橡胶、镀层、EPS、纸箱
(必须) ① 有火灾危险的工序是否使用不燃材料及安装自动灭火装置
(必须) ② 法定对象建筑安装自动火灾探测设备(探测器)及正常运行</v>
          </cell>
        </row>
        <row r="35">
          <cell r="B35" t="str">
            <v>B2) 비상사태 대비</v>
          </cell>
          <cell r="C35" t="str">
            <v>평가 대응프로그램 수립</v>
          </cell>
          <cell r="D35" t="str">
            <v>Priority
   위험성평가를 실시하지 않아 비상대응이 필요한 공정 및 작업을 구분하지 못하거나 비상사태 대응계획이 없음
Major
   다음 사항중 2개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Minor
   다음 사항중 1개 해당:
   1. 비상사태 대응계획을 수립하였으나 위험성평가에서 확인된 중대 위험의 일부가 누락됨
   2. 비상사태 대응계획을 직원들에게 공지하지 않거나 대응훈련을 실시하지 않아 직원들이 대응 계획을 인지하지 못하고 있음
   3. 비상사태 집결지 실내/외 미설치
   4. 사업연속성 재개 계획, 절차서 미수립
Not Applicable
   해당없음
Conformance
   1. 위험성평가 결과에 근거한 상황별 비상사태 대응계획 수립
      √ 화재, 지진, 풍수해, 화학물질 누출, 폭동(파업) 등
   2. 비상사태 대응계획별 정기적인 훈련을 실시후 훈련 결과를 리뷰하여 대응계획을 개정함 (매년 2개 시나리오 이상 훈련)
   3. 비상사태 집결지 실내/외 설치
   4. 사업연속성 재개 계획, 절차서 수립</v>
          </cell>
          <cell r="E35" t="str">
            <v>B2) Emergency Preparedness</v>
          </cell>
          <cell r="F35" t="str">
            <v>Establishment of evaluation response program</v>
          </cell>
          <cell r="G35" t="str">
            <v>Priority
   Risk assessments were not performed, thus being unable to discern process or works requiring emergency response, or have no emergency response plans
Major
   Two of the following applicable:
   1. Established emergency response plans, but some of the major dangers found in the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Minor
   One of the following applicable:
   1. Established emergency response plans, but some of the major dangers found int he risk assessment missing
   2. Did not announce emergency response plans or perform response training for employees, and thus employees are unaware of the response plans
   3. Emergency assembly area not installed indoors/outdoors
   4. Business continuity resumption plans and procedures not established
Not Applicable
   Not applicable
Conformance
   1. Establish emergency response plans for each situation based on the risk assessment results
      √ Fire, earthquake, storm and floods, chemical substance exposure, uprising (strikes), etc.
   2. Perform regular training per emergency response plan and review training results to revise response plans (training for at least 2 scenarios every year)
   3. Install emergency assembly area indoors/outdoors
   4. Establish business continuity resumption plans and procedures</v>
          </cell>
          <cell r="H35" t="str">
            <v>B2)紧急事态应对</v>
          </cell>
          <cell r="I35" t="str">
            <v>构筑应急体系</v>
          </cell>
          <cell r="J35" t="str">
            <v>Priority
   因没有进行危险性评估而不能区分需要紧急应对的工序和作业或没有紧急情况应对方案。
Major
   在下列各项中满足两个：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Minor
   在下列各项中满足一个：
   1. 虽然制定了紧急情况应对方案，但是遗漏一部分在危险性评估中确认的重大危险。
   2. 因没有向员工们公告紧急情况应对方案或没有进行应对训练，员工们不知道应对方案。
   3. 没有在室内外设定紧急情况集合地点。
   4. 没有制定事业连续性重启计划和指导书。
Not Applicable
   不适用
Conformance
   1. 根据危险性评估结果按各种不同情况制定紧急情况应对方案。
      √ 火灾、地震、水灾和风灾、化学物质泄漏、暴乱(罢工)等
   2. 按各紧急情况应对方案定期进行训练后，分析训练结果来修正应对方案(每年进行两个以上脚本的训练)。
   3. 在室内外设定紧急情况集合地点。
   4. 制定事业连续性重启计划和指导书。</v>
          </cell>
        </row>
        <row r="36">
          <cell r="B36" t="str">
            <v>B2) 비상사태 대비</v>
          </cell>
          <cell r="C36" t="str">
            <v>피난로,통로확보</v>
          </cell>
          <cell r="D36" t="str">
            <v>Priority
   다음 사항중 3개 해당:
   1. 사업장 전반에 걸쳐 비상대피로 확보, 비상대피 출구, 피난 유도등, 비상조명등의 고장 방치
   2. 건물별 전체 비상대피로 1개 이상의 대피로가 막혀있거나, 장애물로 인해 피난이 어려운 상태임
      √ 비상출구가 열쇠, 비밀번호 등으로 시건되거나 쉽게 탈출할 수 없는 상태로 방치
      √ 비상대피로 상에 자재, 물건 등을 적재하여 신속한 대피가 불가능한 상황임
   3. 피난도면(비상대피 집결지 포함) 미부착
Major
   다음 사항중 2개 해당:
   1. 사업장 전반에 걸쳐 비상대피로 확보, 비상대피 출구, 피난 유도등, 비상조명등의 고장 방치
   2. 피난도면(비상대피 집결지 포함) 일부 미부착, 정보 누락
Minor
   다음 사항중 1개 해당:
   1. 사업장 전반에 걸쳐 비상대피로 확보, 비상대피 출구, 피난 유도등, 비상조명등의 고장 방치
   2. 피난도면(비상대피 집결지 포함) 일부 미부착, 정보 누락
Not Applicable
   해당없음
Conformance
   1. 사업장 전지역 비상대피로 확보(2방향)
   2. 피난유도등, 비상조명등, 지구경종 등 피난 설비 고장 없음
   3. 피난도면(비상대피 집결지 포함)에 정보 누락없이 부착</v>
          </cell>
          <cell r="E36" t="str">
            <v>B2) Emergency Preparedness</v>
          </cell>
          <cell r="F36" t="str">
            <v>Emergency Exit</v>
          </cell>
          <cell r="G36" t="str">
            <v>Priority
   Three of the following applicable:
   1. Procure emergency evacuation route throughout the workplace, emergency exit, evacuation signal lights and emergency lighting malfunction left neglected
   2. One or more of all evacuation routes per building blocked, or evacuation difficult due to obstacles
      √ Emergency exits locked with keys or passwords, etc. and left making it difficult to evacuate
      √ Materials, objects, etc. loaded on evacuation routes, making quick evacuation impossible
   3. Evacuation drawings (including evacuation assembly area) not attached
Major
   Two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Minor
   One of the following applicable:
   1. Procure emergency evacuation route throughout the workplace, emergency exit, evacuation signal lights and emergency lighting malfunction left neglected
   2. Evacuation drawings (including evacuation assembly area) partially not attached, missing information
Not Applicable
   Not applicable
Conformance
   1. Procure evacuation routes in all areas of workplace (2 directions)
   2. No malfunctioning evacuation equipment such as evacuation sign lights, emergency lights, alarm bells, etc.
   3. Attach all information on evacuation drawings (including evacuation assembly area)</v>
          </cell>
          <cell r="H36" t="str">
            <v>B2)紧急事态应对</v>
          </cell>
          <cell r="I36" t="str">
            <v>疏散路线及通道确保</v>
          </cell>
          <cell r="J36" t="str">
            <v>Priority
   在下列各项中满足三个：
   1. 营业场所(工厂)整体上确保了紧急疏散通道，但是紧急出口、疏散指示灯、紧急照明灯的故障没有进行修理。
   2. 各建筑有一个以上紧急疏散通道被堵塞或因障碍物难以通过。
      √ 紧急出口用锁、密码等上锁或不易逃脱。
      √ 紧急疏散通道因堆积了器材、物品等，无法迅速逃离。
   3. 未贴上疏散示意图(包括紧急疏散集合地点)。
Major
   在下列各项中满足两个：
   1. 营业场所(工厂)整体上确保了紧急疏散通道，但是紧急出口、疏散指示灯、紧急照明灯的故障没有进行修理。
   2. 一些场所未贴上疏散示意图(包括紧急疏散集合地点)及信息不全。
Minor
   在下列各项中满足一个：
   1. 营业场所(工厂)整体上确保了紧急疏散通道，但是紧急出口、疏散指示灯、紧急照明灯的故障没有进行修理。
   2. 一些场所未贴上疏散示意图(包括紧急疏散集合地点)及信息不全。
Not Applicable
   不适用
Conformance
   1. 营业场所(工厂)的整个区域确保紧急疏散通道(双向)。
   2. 疏散指示灯、紧急照明灯、警报器等疏散设备没有故障。
   3. 贴上疏散示意图(包括紧急疏散集合地点)及信息无遗漏。</v>
          </cell>
        </row>
        <row r="37">
          <cell r="B37" t="str">
            <v>B2) 비상사태 대비</v>
          </cell>
          <cell r="C37" t="str">
            <v>대피훈련 및 기록관리</v>
          </cell>
          <cell r="D37" t="str">
            <v>Priority
   최근 1년 이상 전직원 대상 소방훈련을 실시하지 않음
Major
   최근 1년간 전직원 대상 소방훈련을 실시하였으나
   1. 일부 부서/구역/공정에 대하여 훈련 누락
   2. 교대조 중 일부에 대해서만 훈련 실시
   3. 야간 소방훈련 누락(야간 교대조 운영시 한정)
Minor
   소방훈련을 실시하였으나 결과에 대한 평가 누락 (대피 소요시간, 미흡 내용, 보완 필요사항 등)
Not Applicable
   해당없음
Conformance
   1. 소방훈련 년 1회 실시 및 전 임직원 참여함
   2. 문제점을 리뷰하고 시정조치까지 완료함</v>
          </cell>
          <cell r="E37" t="str">
            <v>B2) Emergency Preparedness</v>
          </cell>
          <cell r="F37" t="str">
            <v>Management of fire and other emergency evacuation and response drills</v>
          </cell>
          <cell r="G37" t="str">
            <v xml:space="preserve">Priority
   Did not perform fire extinguishing training for all employees in the past year
Major
   Performed fire extinguishing training for all employees in the past year, but,
   1. Omitted training for some departments/zones/processes
   2. Conducted training only for some shifts
   3. Omitted nighttime fire safety training (limited to when operating night shift)
Minor
   Fire safety training performed, but evaluations on results missing (time taken for evacuation, insufficiencies, necessary supplementations, etc.)
Not Applicable
   Not applicable
Conformance
   1. Perform fire safety training at least once a year and participated by all employees
   2. Review issues and completed corrective actions
 </v>
          </cell>
          <cell r="H37" t="str">
            <v>B2)紧急事态应对</v>
          </cell>
          <cell r="I37" t="str">
            <v>避难训练集记录管理</v>
          </cell>
          <cell r="J37" t="str">
            <v xml:space="preserve">Priority
   最近一年以上没有进行以全体员工为对象的消防训练。
Major
   虽然最近一年里进行了以全体员工为对象的消防训练，但是
   1. 遗漏对一些部门、区域、工序的训练；
   2. 只对一部分交接班组进行训练；
   3. 没有进行夜间消防训练(限为运营夜间交接班组时)。
Minor
   虽然进行了消防训练，但是没有进行训练成果评价(疏散时间、不足部分、需要完善的事项等)。
Not Applicable
   不适用
Conformance
   1. 每年一次进行消防训练并全体员工参加。
   2. 分析问题及完成纠正。
 </v>
          </cell>
        </row>
        <row r="38">
          <cell r="B38" t="str">
            <v>B2) 비상사태 대비</v>
          </cell>
          <cell r="C38" t="str">
            <v>비상대응인력 보호장비,교육 제공</v>
          </cell>
          <cell r="D38" t="str">
            <v>Priority
   화재 및 비상상황 발생에 대비한 비상대응조직을 구성하지 않음
Major
   다음 사항중 2개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 정의 및 역할별 요구되는 교육훈련 기록이 없음
Minor
   다음 사항중 1개 이상 해당
    화재 및 비상상황 발생에 대비한 비상대응조직을 구성하였으나
    1. 비상대응 조직의 활동을 위한 개인보호구가 없거나
    2. 개인보호구는 구비하였으나 관리가 부실하여 사용이 불가하거나 비상대응인력이 쉽게 접근할 수 없는 상태로 보관됨 (시건장치가 있는 창고 등)
    3. 비상대응인력에 대한 담당자 직무별 역할은 정의되어 있으나 역할별 요구되는 교육훈련 기록은 없음
    4. 비상대응조직도 및 인력 구성을 회사내 모든 직원들이 인지할 수 있도록 공지하지 않음
Not Applicable
   해당없음
Conformance
   1. 비상대응조직을 구성하였으며,
   2. 비상대응조직 구성원을 위한 개인보호구를 구비하고 사용이 가능함
      화재 방열 의류, 공기호흡기, 케미컬 누출대비 보호구(삼사형식 이상) 및 호루라기, 유도봉, 확성기, 랜턴 등 
   3. 비상대응인력에 대한 담당자 직무별 역할을 정의하고 역할별로 요구되는 교육 근거를 확보하고 있음</v>
          </cell>
          <cell r="E38" t="str">
            <v>B2) Emergency Preparedness</v>
          </cell>
          <cell r="F38" t="str">
            <v>Provide protection equipment and training for emergency response personnel</v>
          </cell>
          <cell r="G38" t="str">
            <v xml:space="preserve">Priority
   Did not compose emergency response organization to prepare for fire and emergency situations
Major
   Two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No prescription of roles per duty for emergency response organization and no training records for each role
Minor
   One or more of the following applicable
    Composed emergency response organization to prepare for fires and emergency situations, but
    1. No personal protection equipment for the activities of emergency response organizations, or
    2. Personal protection equipment furnished, but management was poor, thus being unable to use or stored in a way that it cannot be easily accessed by emergency response personnel (warehouse with locking device, etc.)
    3. Roles per duty for emergency response personnel prescribed, but no training records required for each role
    4. Emergency response organization and personnel composition not announced so that all employees at the company could be aware of such
Not Applicable
   Not applicable
Conformance
   1. Emergency response organization was composed,
   2. Personal protection equipment furnished and available for use for emergency response organization personnel
      Heat-resistant clothing, air respirators, protective gear for chemical leaks, whistles, guide sticks, megaphone, lantern, etc. 
   3. Prescribed roles per duty for emergency response personnel and procured basis for training for each role
</v>
          </cell>
          <cell r="H38" t="str">
            <v>B2)紧急事态应对</v>
          </cell>
          <cell r="I38" t="str">
            <v>紧急事态应对人力防护用品，培训提供</v>
          </cell>
          <cell r="J38" t="str">
            <v>Priority
   没有成立针对火灾和紧急情况的紧急应对组织。
Major
   在下列各项中满足两个以上：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对紧急应对人员没有按各人员的职务定义其职责及没有按各职责要求进行的教育培训记录。
Minor
   在下列各项中满足一个以上
    虽然成立了针对火灾和紧急情况的紧急应对组织，但是
    1. 没有用于紧急应对组织活动的个人防护用品，或
    2. 虽然配备了个人防护用品，但是因缺乏管理不能使用或以紧急应对人员不易使用的状态保管(上锁的仓库等)。
    3. 虽然对紧急应对人员按各人员的职务定义了其职责，但是没有按各职责要求进行的教育培训记录。
    4. 没有在公司公告紧急应对组织的组织结构图和人员组成，以让公司的所有员工知道。
Not Applicable
   不适用
Conformance
   1. 成立了紧急应对组织。
   2. 为紧急应对组织的人员配备了个人防护用品且可以使用。
      火灾防火服、空气呼吸器、应对化学物质泄漏的防护用品(三四级以上)以及哨子、引导棒、扬声器、手电筒等
   3. 对紧急应对人员按各人员的职务定义其职责，并确保按各职责要求进行的教育培训依据。</v>
          </cell>
        </row>
        <row r="39">
          <cell r="B39" t="str">
            <v>B3) 산업재해 및 질병</v>
          </cell>
          <cell r="C39" t="str">
            <v>산업재해 및 질병 인허가</v>
          </cell>
          <cell r="D39" t="str">
            <v>Major
   사내의료시설(진료실 또는 구급용품) 및 의료진(산업보건의, 산업보건간호사)을
   법기준에 맞추어 확보하지 않음
Minor
   다음 사항중 1개 이상 해당
   1. 상해사고 발생시 긴급 대응을 위한 사내의료시설이 없음
   2. 상해사고 발생시 긴급 대응을 위한 의료인력(산업보건의, 산업보건간호사)을 확보하지 않음
Not Applicable
   사내의료시설 및 의료진 확보의 의무가 없음
Conformance
   사내의료시설 및 의료진을 법기준에 맞추어 확보함</v>
          </cell>
          <cell r="E39" t="str">
            <v>B3) Occupational Injury and Illness</v>
          </cell>
          <cell r="F39" t="str">
            <v>permits, licenses about industrial accident</v>
          </cell>
          <cell r="G39" t="str">
            <v xml:space="preserve">Major
   Did not procure in-company medical facility (infirmary or first-aid supplies) and medical staff (industrial health doctor, industrial health nurse) according to legal standards
Minor
   One or more of the following applicable
   1. No in-company medical facility for emergency response in the case of injuries
   2. Did not procure medical personnel (industrial health doctor, industrial health nurse) for emergency response in case of injuries
Not Applicable
   Not required to procure in-company medical facilities or medical staff
Conformance
   Procured in-company medical facility and medical staff according to legal standards
</v>
          </cell>
          <cell r="H39" t="str">
            <v>B3)产业灾害及疾病</v>
          </cell>
          <cell r="I39" t="str">
            <v>产业灾害及疾病许可证</v>
          </cell>
          <cell r="J39" t="str">
            <v xml:space="preserve">Major
   没有按照法律标准确保公司内部医疗设施(诊疗室或急救用品)和医疗人员(产业保健医生、产业保健护士)。
Minor
   在下列各项中满足一个以上
   1. 没有发生工伤事故时可以紧急应对的公司内部医疗设施。
   2. 没有发生工伤事故时可以紧急应对的医疗人员(产业保健医生、产业保健护士)。
Not Applicable
   没有确保公司内部医疗设施和医疗人员的义务。
Conformance
   根据法律标准确保公司内部医疗设施和医疗人员。
</v>
          </cell>
        </row>
        <row r="40">
          <cell r="B40" t="str">
            <v>B3) 산업재해 및 질병</v>
          </cell>
          <cell r="C40" t="str">
            <v>산업재해 및 질병 원인분석,시정조치,기록관리</v>
          </cell>
          <cell r="D40" t="str">
            <v>Priority
   다음 사항중 1개 이상 해당
   1. 노동부 등 관련기관에 신고가 필요한 산업재해, 직업병이 발생했음에도 보고하지 않음 
   2. 산업재해 및 직업병 발생시 신고, 치료, 보상, 복귀를 위한 대응 절차가 없음
Major
   다음 사항중 1개 이상 해당
   1. 산업재해, 직업병, 아차사고 발생 기록을 관리하지 않음
   2. 산업재해, 직업병, 아차사고 발생 기록을 관리하고 있으나 
      동종, 유사사고 예방을 위한 사고조사, 원인분석, 시정조치 및 재발방지조치 등은 시행하지 않음
Minor
   다음 사항중 1개 이상 해당
   1. 산업재해, 직업병, 아차사고 발생 기록을 관리하고 있으나 일부 누락됨 
   2. 산업재해, 직업병, 아차사고 발생 기록을 관리하며 분석 및 재발방지대책도 시행하고 있으나 일부 누락됨
   3. 건겅진단결과 직업병 유소견자를 확인하였으나 작업변경, 추가검사 및 치료 등의 조치를 취하지 않음
Not Applicable
   최근 3년간 산업재해, 직업병 발생 없음
Conformance
   1. 산업재해 및 직업병 발생시 대응절차를 구축하였으며
   2. 산업재해, 직업병 및 아차사고 발생 기록을 관리함
   3. 직업병 유소견자에 대한 작업변경, 추가검사 또는 필요시 치료 등의 질병 회복을 위한 조치를 취하고
      그 기록을 관리하고 있음</v>
          </cell>
          <cell r="E40" t="str">
            <v>B3) Occupational Injury and Illness</v>
          </cell>
          <cell r="F40" t="str">
            <v>Industrial accident cause analysis</v>
          </cell>
          <cell r="G40" t="str">
            <v>Priority
   One or more of the following applicable
   1. Not reported industrial accidents or job-related diseases that must be reported to the relevant institute such as the Ministry of Employment and Labor 
   2. No response procedures such as reporting, treatment, compensation and return when industrial accidents and job-related diseases occur
Major
   One or more of the following applicable
   1. Records on industrial accidents, job-related diseases and near miss accidents not managed
   2. Records on industrial accidents, job-related diseases, and near misses are managed, but investigation of accident, cause analysis, corrective action, and recurrence prevention measures, etc. to prevent same or similar accidents not carried out
Minor
   One or more of the following applicable
   1. Records on industrial accidents, job-related diseases and near miss accidents managed, but partially omitted
   2. Records on industrial accidents, job-related diseases and near miss accidents managed, analysis and recurrence prevention plans implemented, but partially missing
   3. Health exam results showed opinions for job-related diseases, but measures such as work change, additional inspection, treatment, etc. not taken
Not Applicable
   No industrial accidents or job-related diseases occurred in the past 3 years
Conformance
   1. Response procedures for industrial accidents and job-related diseases constructed and
   2. Records on industrial accidents, job-related diseases and near miss accidents managed
   3. Work change, additional examinations, and if necessary, measures to recover from diseases such as treatment for persons having job-related diseases taken, and records are being managed</v>
          </cell>
          <cell r="H40" t="str">
            <v>B3)产业灾害及疾病</v>
          </cell>
          <cell r="I40" t="str">
            <v>产业灾害及疾病原因分析，改善处理，记录管理</v>
          </cell>
          <cell r="J40" t="str">
            <v>Priority
   在下列各项中满足一个以上
   1. 发生需要向劳动部等相关机构报告的产业灾害、职业病，但没有报告。 
   2. 没有发生产业灾害和职业病时进行申报、治疗、补偿以及复工的应对程序。
Major
   在下列各项中满足一个以上
   1. 没有管理发生产业灾害、职业病、未遂事故的记录。
   2. 虽然管理发生产业灾害、职业病、未遂事故的记录，但是没有为预防同类事故和相似事故 
      进行事故调查、分析原因以及采取纠正措施和防止再次发生的措施等。
Minor
   在下列各项中满足一个以上
   1. 虽然管理发生产业灾害、职业病、未遂事故的记录，但是有遗漏。 
   2. 虽然管理发生产业灾害、职业病、未遂事故的记录且进行分析并采取防止再次发生的措施，但是有遗漏。
   3. 虽然通过健康检查发现医生给出有职业病意见的人员，但是没有采取变更作业、进行附加检查和治疗等措施。
Not Applicable
   近三年内没有发生产业灾害和职业病。
Conformance
   1. 建立了发生产业灾害和职业病时的应对程序。
   2. 对发生产业灾害、职业病以及未遂事故的记录进行管理。
   3. 对医生给出有职业病意见的人员作业采取变更作业及进行附加检查或需要时进行治疗等从疾病康复的措施，并管理相应的记录。</v>
          </cell>
        </row>
        <row r="41">
          <cell r="B41" t="str">
            <v>B3) 산업재해 및 질병</v>
          </cell>
          <cell r="C41" t="str">
            <v>응급처치 인력, 프로세스</v>
          </cell>
          <cell r="D41" t="str">
            <v>Priority
   1. 응급구조인력 또는 산업보건 의료인력이 없고 응급구조 절차가 없음
Major
   다음 사항중 1개이상 해당:
   1. 사고 또는 환자 발생시 대응을 위한 응급구조인력을 확보하지 않아 대응이 불가함
   2. 응급구조인력은 선정되어 있으나 교육을 받지 않음
Minor
   1. 응급구조인력을 확보하고 교육도 시행했으나 대응 프로세스가 없음
   2. 응급구조인력을 확보하였으나 작업자들이 구조인력을 인지(식별)하지 못함
Not Applicable
   해당없음
Conformance
   1. 자격을 보유한 응급처치인력을 확보함
   2. 응급상황발생시 적절한 대응을 위한 절차를 수립하였으며 
      사업장에서 발생한 응급상황의 기록도 보유하고 있음</v>
          </cell>
          <cell r="E41" t="str">
            <v>B3) Occupational Injury and Illness</v>
          </cell>
          <cell r="F41" t="str">
            <v>First aid personnel, emergency treatment process</v>
          </cell>
          <cell r="G41" t="str">
            <v xml:space="preserve">Priority
   1. No emergency rescue personnel or industrial health medical personnel, and no emergency rescue procedures
Major
   1 or more of the following apply:
   1. Did not procure emergency rescue personnel to respond to accidents or patients, thus making response impossible
   2. Emergency rescue personnel selected, but not trained
Minor
   1. Emergency rescue personnel procured and training performed, but no response process
   2. Emergency rescue personnel procured, but workers are not aware of the rescue personnel
Not Applicable
   Not applicable
Conformance
   1. Procured qualified first-aid personnel
   2. Established procedures for appropriate response when emergencies occur and possess records for emergency situations that occur at the workplace
   </v>
          </cell>
          <cell r="H41" t="str">
            <v>B3)产业灾害及疾病</v>
          </cell>
          <cell r="I41" t="str">
            <v>应急处理人力，流程</v>
          </cell>
          <cell r="J41" t="str">
            <v xml:space="preserve">Priority
   1. 没有紧急救助人员或产业保健医疗人员，没有紧急救助流程。
Major
   在下列各项中满足一个以上：
   1. 因没有发生事故或患者时可以进行应对的紧急救助人员，无法进行应对。
   2. 虽然选拔了紧急救助人员，但没有进行教育培训。
Minor
   1. 虽然拥有紧急救助人员且进行了教育培训，但是没有应对流程。
   2. 虽然拥有紧急救助人员，但是作业人员不认识(无法辨认)救助人员。
Not Applicable
   不适用
Conformance
   1. 拥有具备相关资格的应急人员。
   2. 制定了发生紧急情况时的恰当的应对程序，并保存着在营业场所(工厂)发生的紧急情况的记录。
   </v>
          </cell>
        </row>
        <row r="42">
          <cell r="B42" t="str">
            <v>B3) 산업재해 및 질병</v>
          </cell>
          <cell r="C42" t="str">
            <v>구급함 구비</v>
          </cell>
          <cell r="D42" t="str">
            <v>Major
   다음 사항중 1개 이상 해당:
   1. 응급환자 발생시 대응을 위한 구급상자, 응급의약품 등을 구비하지 않음
   2. 응급환자 발생시 대응을 위한 구급상자 및 응급의약품을 구비하였으나
      사업장내 일부 부서 또는 공정에서 구급상자 접근이 제한됨
Minor
   다음 사항중 1개 이상 해당:
   1. 구급상자 및 응급의약품을 구비하였으나 약품 재고를 관리하지는 않음
   2. 구급상자 및 응급의약품 확보 및 재고 유지를 위한 월 1회 이상 점검 기록은 없음
Not Applicable
   해당없음
Conformance
   1. 구급상자 및 응급의약품을 확보하고 있으며 적절한 재고 유지를 위한 월 1회 이상 점검기록 관리하고 있음
  * 비치품목 : 붕대재료, 탈지면, 펀셋, 반창고, 외상용 소독약, 화상약, 지혈대, 부목, 들것</v>
          </cell>
          <cell r="E42" t="str">
            <v>B3) Occupational Injury and Illness</v>
          </cell>
          <cell r="F42" t="str">
            <v>First Aid Kit</v>
          </cell>
          <cell r="G42" t="str">
            <v>Major
   One or more of the following applicable:
   1. First-aid kit, emergency medicine, etc. for responding to emergency patients not furnished
   2. First-aid kit, emergency medicine, etc. for responding to emergency patients furnished but access to first-aid kit at some departments or processes at the workplace limited
Minor
   One or more of the following applicable:
   1. First-aid kit and emergency medicine furnished but medicine inventory not managed
   2. No monthly inspection records for procuring first-aid kits and emergency medicine or for maintaining inventory 
Not Applicable
   Not applicable
Conformance
   1. Procured first-aid kit and emergency medicine, and managing inspection records at least once a month to maintain appropriate inventory
* Furnished items: Bandaging material, swabs, tweezers, adhesives, antiseptics, burn medicine, tourniquet, splints, stretchers</v>
          </cell>
          <cell r="H42" t="str">
            <v>B3)产业灾害及疾病</v>
          </cell>
          <cell r="I42" t="str">
            <v>具备急救箱</v>
          </cell>
          <cell r="J42" t="str">
            <v>Major
   在下列各项中满足一个以上：
   1. 没有发生急救患者时进行应对的急救箱、急救药品等。
   2. 虽然具备发生急救患者时进行应对的急救箱和急救药品，但是在营业场所(工厂)内的一些部门或工序
      被限制接近急救箱。
Minor
   在下列各项中满足一个以上：
   1. 虽然具备急救箱和急救药品，但是没有进行药品的库存管理。
   2. 没有为了确保急救箱和急救药品以及保持库存每月一次以上进行检查的记录。
Not Applicable
   不适用
Conformance
   1. 确保了急救箱和急救药品，并为了保持适当的库存每月一次以上进行检查及记录。
* 配备物品：绷带材料、脱脂棉、镊子、创可贴、外伤用消毒药、烧烫伤膏、止血绷带、夹板、担架</v>
          </cell>
        </row>
        <row r="43">
          <cell r="B43" t="str">
            <v>B4) 산업위생</v>
          </cell>
          <cell r="C43" t="str">
            <v>산업위생 인허가</v>
          </cell>
          <cell r="D43" t="str">
            <v>Priority
   다음 사항중 1개 이상 해당
   1. (필수)작업장내 유해인자에 대한 작업환경측정을 실시하지 않음
   2. 유해인자에 노출되는 작업자 대상의 특수건강진단(배치전/후 포함)을 실시하지 않음
   3. 전직원 대상의 일반건강진단을 실시하지 않음
Major
   1. 작업환경측정결과 법기준 초과 2개소↑
   2. 작업환경 측정관련 대상공정 선정시 유해인자가 발생하는 공정을 누락함  
   3. 유해인자에 노출되는 작업자 대상의 특수건강진단(배치전/후 포함)을 실시하나
      작업환경측정결과 확인된 유해인자에 노출되는 작업자 일부가 누락됨
   4. 전직원 대상의 일반건강진단을 10% 이하 실시하지 않음
Minor
   1. 작업환경측정결과 법기준 초과 1개소
   2. 전직원 대상의 일반건강진단을 5% 이하 실시하지 않음
Not Applicable
   해당없음
Conformance
   작업환경측정, 일반건강진단, 특수건강진단을 누락없이 실시함
* 해당국가 법기준 준수
(필수) ③ 작업환경 정기 측정 미실시</v>
          </cell>
          <cell r="E43" t="str">
            <v>B4) Industrial Hygiene</v>
          </cell>
          <cell r="F43" t="str">
            <v>Industrial hygiene permit</v>
          </cell>
          <cell r="G43" t="str">
            <v>Priority
   One or more of the following applicable
   1. (Mandatory) Work environment measurement for harmful factors in the workplace not performed
   2. Special health diagnosis (including before/after arrangement) for workers exposed to harmful elements not performed
   3. General health exams for all employees not performed
Major
   1. 2 areas with work environment results exceeding legal standards ↑
   2. Missing process where harmful elements occur when selecting target process related to work environment measurement  
   3. Special health examin (including before and after assignment) for workers exposed to harmful elements performed, but some workers exposed to harmful elements found during the work environment measurement results omitted
   4. General health exams for all employees not performed for less than 10%
Minor
   1. 1 area with work environment results exceeding legal standards
   2. General health exams for all employees not performed for less than 5%
Not Applicable
   Not applicable
Conformance
   Work environment measurement, general health diagnosis, special health diagnosis performed without omissions
* Comply with legal standards of the corresponding country
(Mandatory) ③ Regular work environment measurement not performed</v>
          </cell>
          <cell r="H43" t="str">
            <v>B4)产业卫生</v>
          </cell>
          <cell r="I43" t="str">
            <v>产业卫生许可</v>
          </cell>
          <cell r="J43" t="str">
            <v>Priority
   在下列各项中满足一个以上
   1. (必须)没有进行对作业场所内有害因素的作业环境检测。
   2. 没有以接触有害因素的作业人员为对象进行特殊健康诊断(包括布置到作业岗位前后)。
   3. 没有进行以全体员工为对象的常规健康诊断。
Major
   1. 通过作业环境检测发现两处以上超出法律标准的地方。
   2. 在选择作业环境检测对象工序时遗漏发生有害因素的工序。  
   3. 虽然对接触有害因素的作业人员进行特殊健康诊断(包括布置到作业岗位前后)，但是
      遗漏一部分接触通过作业环境检测发现的有害因素的作业人员。
   4. 有10%以下的员工没有接受以全体员工为对象的常规健康诊断。
Minor
   1. 通过作业环境检测发现一处超出法律标准的地方。
   2. 有5%以下的员工没有接受以全体员工为对象的常规健康诊断。
Not Applicable
   不适用
Conformance
   无遗漏地进行作业环境检测、常规健康诊断、特殊健康诊断。
* 遵守相应国家的法律标准。
(必须) ③ 未定期进行作业环境检测。</v>
          </cell>
        </row>
        <row r="44">
          <cell r="B44" t="str">
            <v>B4) 산업위생</v>
          </cell>
          <cell r="C44" t="str">
            <v>유해공정 작업자 관리</v>
          </cell>
          <cell r="D44" t="str">
            <v>Priority
   다음 사항중 1개 이상 해당:
   1. (필수)공정내 금지물질 사용 또는 공정내 미승인 제한물질 3종 이상 사용
   2. (필수)국소배기 설치 의무가 있는 공정에 국소배기장치를 미설치 및 풍속미달 3개이상
       (* 한국 : 관리대상물질 사용공정, 산업안전보건법)
Major
   다음 사항중 1개 이상 해당
   1. 공정내 미승인 제한물질 2종 이하 사용
   2. 유해인자가 발생하는 공정에 국소배기장치를 모두 설치하였으나 풍속 미달 2개소
Minor
   다음 사항중 1개 이상 해당
   1. 공정내 미승인 제한물질 1종 사용
   2. 유해인자가 발생하는 공정에 국소배기를 모두 설치하였으나 풍속 미달 1개소
   3. MSDS 미비치(최신본, 현지어, 공정별 작업관리 요령)
Not Applicable
   해당없음
Conformance
   1. 금지물질, 공정내 미승인 제한물질 사용 없음
   2. 유해인자 발생공정에 국소배기장치 설치 및 풍속기준 충족
 * 금지물질 2종 및 제한물질 9종 중 수세척, 냉각제로 사용금지, 
    이외 제한물질 사용시 G-SRM 등록 승인후 사용(국소배기 설치, 안전보호구 착용, 교육, 안전보건표지 부착 등) 
  - 금지물질 2종(노말헥산 110-54-3, 벤젠 71-43-2) 
  - 제한물질 9종(메탄올 67-56-1, TCE 79-01-6, 톨루엔 108-88-3, 시클로헥사논 108-94-1, 디클로로메탄 75-09-2, 
                    니트로메탄 75-52-5, 디메틸포름아미드 68-12-2, 트리클로로메탄 67-66-3, 퍼클로로에틸렌 127-18-4)
(필수) ④ 공정내 금지물질 사용, 제한물질 미승인 사용
(필수) ⑥ 유해공정 국소배기설치 및 풍속 정상 여부</v>
          </cell>
          <cell r="E44" t="str">
            <v>B4) Industrial Hygiene</v>
          </cell>
          <cell r="F44" t="str">
            <v>Management for worker who exposures  to Harmful environment</v>
          </cell>
          <cell r="G44" t="str">
            <v>Priority
   One or more of the following applicable:
   1. (Mandatory) Use of prohibited materials in the process or use of 3 or more unauthorized or restricted substances within the process
   2. (Mandatory) Local ventilator not installed in processes requiring installation of local ventilator or 3 or more not meeting wind speed requirements
       (* Korea: Process using materials subject to management, industrial safety and health act)
Major
   One or more of the following applicable
   1. Use of 2 or less unauthorized or restricted materials in the process
   2. Local ventilators installed in all processes that generate harmful elements, but 2 or more areas with insufficient wind speed
Minor
   One or more of the following applicable
   1. Use of 1 unauthorized or restricted materials in the process
   2. Local ventilators installed in all processes that generate harmful elements, but 1 area with insufficient wind speed
   3. MSDS not furnished (latest version, local language, work management guide per process)
Not Applicable
   Not applicable
Conformance
   1. No prohibited material or unauthorized or restricted materials used in the process
   2. Installation of local ventilator in harmful element generating process and satisfy wind speed standards
 * 2 prohibited materials and 9 restricted materials cannot be used for waster cleaning or as refrigerant, 
    When using other restricted materials, use after approval of G-SRM registration (local ventilator installation, wearing safety protective gear, attachment of safety health labels, etc.) 
  - 2 prohibited materials (normal hexane 110-54-3, benzene 71-43-2) 
  - 9 restricted materials (methanol 67-56-1, TCE 79-01-6, toluene 108-88-3, cyclohexanone 108-94-1, dichloromethane 75-09-2, 
                    nitromethane 75-52-5, dimethylformamide 68-12-2, trichloromethane 67-66-3, perchloroethylene 127-18-4)
(Mandatory) ④ Use of prohibited materials in process, use of unauthorized restricted materials
(Mandatory) ⑥ Installation of local vent for harmful process and whether wind speed is normal</v>
          </cell>
          <cell r="H44" t="str">
            <v>B4)产业卫生</v>
          </cell>
          <cell r="I44" t="str">
            <v>有害工序 作业人员管理</v>
          </cell>
          <cell r="J44" t="str">
            <v>Priority
   在下列各项中满足一个以上：
   1. (必须)在工序内使用禁止使用物质或在工序内使用三种以上未获批准的限制使用物质。
   2. (必须)在必须安装局部排气装置的工序没有安装局部排气装置及三处以上风速不达标。
       (* 韩国：使用管理对象物质的工序，产业安全保健法)
Major
   在下列各项中满足一个以上
   1. 在工序内使用两种以下未获批准的限制使用物质。
   2. 虽然在发生有害因素的工序全部安装了局部排气装置，但是有两处风速不达标。
Minor
   在下列各项中满足一个以上
   1.  在工序内使用一种未获批准的限制使用物质。
   2. 虽然在发生有害因素的工序全部安装了局部排气装置，但是有一处风速不达标。
   3. 未摆放MSDS(最新版本，当地语言，各工序的作业管理指南)。
Not Applicable
   不适用
Conformance
   1. 在工序内没有使用禁止使用物质和未获批准的限制使用物质。
   2. 在发生有害因素的工序安装局部排气装置且满足风速标准。
 * 在两种禁止使用物质和九种限制使用物质中，使用禁止水洗和用为冷却剂的物质以外的限制使用物质时，在G-SRM登记并获得批准后使用。 
     (安装局部排气装置、穿戴安全防护用品、进行教育培训、贴上安全保健标志等)
  - 两种禁止使用物质(正己烷110-54-3、苯71-43-2) 
  - 九种限制使用物质(甲醇67-56-1、TCE 79-01-6、甲苯108-88-3、环己酮108-94-1、二氯甲烷75-09-2、
                    硝基甲烷75-52-5、二甲基甲酰胺68-12-2、三氯甲烷67-66-3、全氯乙烯127-18-4)
(必须) ④ 在工序内使用禁止使用物质及未获批准使用限制使用物质。
(必须) ⑥ 在有害工序是否安装局部排气装置及风速是否达标。</v>
          </cell>
        </row>
        <row r="45">
          <cell r="B45" t="str">
            <v>B5) 육체적 과중업무</v>
          </cell>
          <cell r="C45" t="str">
            <v>육체적 과중업무 평가통제</v>
          </cell>
          <cell r="D45" t="str">
            <v xml:space="preserve">Priority
   근골격계유해요인조사를 실시하지 않음 
Major
   정기 유해요인 조사를 통해 근골격계부담작업을 식별하였으나
   공정개선을 위한 계획수립, 실행기록이 없음
Minor
   정기 유해요인 조사를 통해 식별한 근골격계부담작업에 대해 
   개선계획 수립후 일부 공정개선은 시행했으나 
   정기조사 이후 발생한 공정·작업조건 변경 등에 따른 대책 시행은 누락됨
Not Applicable
   해당없음
Conformance
   근골격계부담작업 유해요인 조사를 실시하여 식별한 유해위험공정에 대한 개선활동을 진행하고 기록관리도 함
 * (한국) 근골격계유해요인조사 1회/3년 </v>
          </cell>
          <cell r="E45" t="str">
            <v>B5) Physically Demanding Work</v>
          </cell>
          <cell r="F45" t="str">
            <v>Control of physically demanding work</v>
          </cell>
          <cell r="G45" t="str">
            <v xml:space="preserve">Priority
   Muscular-skeletal harm factor investigations not performed 
Major
   Muscular-skeletal demanding work identified through regular harm factor surveys, but no plan for improving the process was established or there are no execution plans
Minor
   Established improvement plans for muscular-skeletal demanding work identified through regular harmful factor surveys and process improvements were partially conducted, but measures according to change of process/work conditions following regular surveys omitted
Not Applicable
   Not applicable
Conformance
   Perform muscular-skeletal demanding work harm factor surveys to identify harmful and dangerous processes to perform improvement activities and manage records
 * (Korea) Muscular-skeletal harm factor survey once/3 years </v>
          </cell>
          <cell r="H45" t="str">
            <v>B5)过负荷作业</v>
          </cell>
          <cell r="I45" t="str">
            <v>过负荷作业(胫骨劳损)</v>
          </cell>
          <cell r="J45" t="str">
            <v xml:space="preserve">Priority
   没有进行肌肉骨骼系统有害因素调查。
Major
   虽然通过定期进行有害因素调查确认了对肌肉骨骼系统造成负担的作业，
   但是没有制定和实施改进工序的计划的记录。
Minor
   虽然对通过定期进行有害因素调查确认的对肌肉骨骼系统造成负担的作业制定改进计划后对一些工序进行了改进， 
   但是遗漏了对定期调查以后发生的工序、作业条件变更等的相应的措施。
Not Applicable
   不适用
Conformance
   对肌肉骨骼系统造成负担的作业进行有害因素调查后，对确认的有害危险工序进行改进并管理相关记录。
 * (韩国)每三年实施一次肌肉骨骼系统有害因素调查。 </v>
          </cell>
        </row>
        <row r="46">
          <cell r="B46" t="str">
            <v>B6) 기계안전</v>
          </cell>
          <cell r="C46" t="str">
            <v>기계설비 인허가</v>
          </cell>
          <cell r="D46" t="str">
            <v>Priority
   안전검사 대상 위험기계기구 3대 이상 검사기간 초과 사용 중(설치후 3년, 그 이후 매 2년)
Major
   안전검사 대상 위험기계기구 2대의 검사기간 초과 사용 중(설치후 3년, 그 이후 매 2년)
Minor
   다음 사항중 1개 이상 해당:
   1. 유해 위험기계 및 설비에 대한 안전인증 및 자율안전확인신고를 받지 않음
   2. 안전검사 대상 위험기계기구 1대의 검사기간 초과 사용(설치후 3년, 그 이후 매 2년)
Not Applicable
   허가 및 검사 의무가 있는 위험기계기구를 보유하지 않음
Conformance
   위험기계기구에 대한 안전검사를 주기적으로 실시하는 절차가 수립되어 
   있고 검사결과를 확보하고 있음
 * 인증대상 위험기계기구 (한국 KCS, CE 자가선언 등)
   - 설치, 이전시 안전인증을 받아야 하는 기계 : 크레인, 리프트, 곤돌라
   - 주요 구조부분 변경시 안전인증을 받아야 하는 기계 : 프레스, 전단기/절곡기, 크레인, 리프트, 압력용기, 
     롤러기, 사출성형기, 고소작업대, 곤돌라
 * 자율안전확인신고 (한국 KCS, CE 자가선언 등)
   - 연삭기/연마기(휴대형 제외), 산업용 로봇, 혼합기, 파쇄기 또는 분쇄기, 컨베이어, 인쇄기
     공작기계(선반, 드릴기, 평삭ㆍ형삭기, 밀링), 고정형 목재가공용 기계(둥근톱, 대패, 루타기, 띠톱, 모떼기 기계), 
   - 방호장치 
     아세틸렌 용접장치용/가스집합 용접장치용 안전기, 교류 아크용접기용 자동전격방지기, 롤러기 급정지장치, 
     연삭기 덮개, 목재 가공용 둥근톱 반발 예방장치와 날 접촉 예방장치, 동력식 수동대패용 칼날 접촉 방지장치
 * 검사대상 위험기계기구
   - 크레인, 리프트, 곤돌라, 프레스, 전단기, 압력용기, 국소배기장치, 원심기, 롤러기, 사출성형기, 컨베이어, 산업용로봇</v>
          </cell>
          <cell r="E46" t="str">
            <v>B6) Machine Safeguarding</v>
          </cell>
          <cell r="F46" t="str">
            <v>permits, licenses and testing reports for machinery</v>
          </cell>
          <cell r="G46" t="str">
            <v>Priority
   Use of 3 or more dangerous mechanical instruments for safety inspection that exceeded inspection period (3 years after installation, every 2 years after)
Major
   Use of 2 dangerous mechanical instruments for safety inspection that exceeded inspection period (3 years after installation, every 2 years after)
Minor
   One or more of the following applicable:
   1. Safety certification and autonomous safety verification report for harmful dangerous machines and equipment not received
   2. Use of 1 dangerous mechanical instrument for safety inspection that exceeded inspection period (3 years after installation, every 2 years after)
Not Applicable
   Dangerous mechanical instruments subject to authorization and inspection not possessed
Conformance
   Procedures for regularly performing safety inspections for dangerous mechanical instruments established and inspection results procured
 * Dangerous mechanical instruments subject to certification (Korea KCS, CE self-declaration, etc.)
   - Machines that must receive safety authentication during installation or transfer: Crane, lift, gondola
   - Machines that must receive safety authentication when changing major structural parts: Press, shearer/bender, crane, lift, pressurized container, roller, injection molder, high-altitude work table, gondola
 * Autonomous safety verification report (Korea KCS, CE self-declaration, etc.)
   - Grinder/polisher (excluding portable type), industrial robots, mixer, crusher and pulverizer, conveyor, printer
     Machine tools (shelf, drill, planing machine/shaper, milling), fixed wood processing machines (buzz saw, plane, routing machine, band saw, chamber machine), 
   - Protection device 
     Acetylene welding device/gas collection welding device stabilizer, alternating arc welding auto shock preventer, roller emergency stop device, grinder cover, wood processing buzz saw repulsion prevention device and blade contact prevention device, powered manual plane blade contact prevention device
 * Dangerous machine instrument subject to inspection
   - Crane, lift, gondola, press, shearer, pressurized container, local ventilator, centrifuge, roller, injection molder, conveyor, industrial robot</v>
          </cell>
          <cell r="H46" t="str">
            <v>B6)机器安全</v>
          </cell>
          <cell r="I46" t="str">
            <v>器械设备许可</v>
          </cell>
          <cell r="J46" t="str">
            <v>Priority
   三台以上安全检查对象危险机械器具在超过检查期限的状态下使用。(安装后过三年时检查一次，之后每两年检查一次)
Major
   两台安全检查对象危险机械器具在超过检查期限的状态下使用。(安装后过三年时检查一次，之后每两年检查一次)
Minor
   在下列各项中满足一个以上：
   1. 对有害危险机械和设备没有进行安全认证及自律安全确认申报。
   2. 一台安全检查对象危险机械器具在超过检查期限的状态下使用。(安装后过三年时检查一次，之后每两年检查一次)
Not Applicable
   没有必须获得许可及具有检查义务的危险机械器具。
Conformance
   制定定期对危险机械器具进行安全检查的程序，并具有检查结果。
 * 需要获得认证的危险机械器具(韩国KCS、CE符合性声明等)
   - 在安装和迁移时需要获得安全的机械：起重机、升降机、吊篮
   - 变更主要结构部分时需要获得安全认证的机械：牙床、剪切机和折弯机、起重机、升降机、压力容器、 
     滚压机、注塑成型机、高处作业脚手架、吊篮
 * 自律安全确认申报对象(韩国KCS、CE符合性声明等)
   - 磨床/研磨机(便携式除外)、工业机器人、混合机、粉碎机、输送机、印刷机、
     工作母机(车床、钻床、刨床、刨齿机、铣床)、固定式木材加工机械(圆锯、刨刀、雕刻机、带锯、倒角机) 
   - 安全防护装置 
     用于乙炔焊接装置和混合气焊接装置的安全装置、用于交流电弧焊机的自动电机防止装置、滚压机紧急制动装置、磨床盖、 
     用于木材加工的圆锯机的防止木材反弹装置和防止接触锯刃装置、用于动力式手动刨刀的防止接触刀刃装置
 * 需要进行检查的危险机械器具
   - 起重机、升降机、吊篮、牙床、剪切机、压力容器、局部排气装置、离心机、滚压机、注塑成型机、输送机、工业机器人</v>
          </cell>
        </row>
        <row r="47">
          <cell r="B47" t="str">
            <v>B6) 기계안전</v>
          </cell>
          <cell r="C47" t="str">
            <v>안전보호장치,프로그램 실행</v>
          </cell>
          <cell r="D47" t="str">
            <v xml:space="preserve">Priority
   다음 사항중 3개 이상 해당:
   1. 위험기계기구 및 위험작업의 위험도를 평가, 관리하기 위한 위험성평가를 실시하지 않음
   2. 안전사고 발생의 위험이 있는 위험기계기구에 안전장치, 방호장치를 설치하지 않음(1대 이상)
      (ex. 비상정지 장치)
   3. 안전작업절차서, 안전수칙, 안전보건표지가 없음(작업자가 이해할 수 있는 언어로 표기)
   4. 작업자가 기계설비 운전시 방호장치를 임의 해제
Major
   Priority 평가 항목중 2개 해당
Minor
   Priority 평가 항목중 1개 해당
Not Applicable
   해당없음
Conformance
   1. 위험기계기구 및 위험 작업 관련 위험도를 평가하고 제어하기 위한 위험성평가를 실시
   2. 안전사고 발생 및 중대재해 발생의 위험이 있는 위험기계기구에 안전장치, 방호장치를 설치(ex. 비상정지 장치)
   3. 안전작업절차서, 안전수칙, 안전보건표지 있음
   4. 작업자가 기계설비 운전시 방호장치 해제 없음 </v>
          </cell>
          <cell r="E47" t="str">
            <v>B6) Machine Safeguarding</v>
          </cell>
          <cell r="F47" t="str">
            <v>machine-safeguarding program</v>
          </cell>
          <cell r="G47" t="str">
            <v xml:space="preserve">Priority
   Three or more applicable from the following:
   1. Risk assessment for evaluating and managing risk level of dangerous mechanical instruments and dangerous work not performed
   2. Safety device and protection device for dangerous mechanical instruments with risk of safety accidents not installed (1 unit or more)
      (ex. Emergency stop device)
   3. No safe work procedures, safety rules, safety health cover (in language that the worker can understand)
   4. Arbitrary disassembly of protection devices when the worker operates mechanical equipment
Major
   2 corresponding Priority evaluation items
Minor
   1 corresponding to Priority evaluation item
Not Applicable
   Not applicable
Conformance
   1. Perform risk assessment for evaluating and controlling risk level related to dangerous mechanical instruments and dangerous works
   2. Install safety devices and protection devices for dangerous mechanical instruments with risks of safety accidents or serious disasters (ex. Emergency stop device)
   3. Safety work procedures, safety rules, safety health cover exist
   4. No protection device disassembly when the worker operates the mechanical equipment </v>
          </cell>
          <cell r="H47" t="str">
            <v>B6)机器安全</v>
          </cell>
          <cell r="I47" t="str">
            <v>设置漏电断路器（添加）</v>
          </cell>
          <cell r="J47" t="str">
            <v xml:space="preserve">Priority
   在下列各项中满足三个以上：
   1. 没有进行评估和管理危险机械器具和危险作业的危险性的危险性评估。
   2. 在有安全事故危险的危险机械器具没有安装安全装置、防护装置(一台以上)。
      (例如：紧急停止装置)
   3. 没有安全作业指导书、安全守则、安全保健标志(使用作业人员可以理解的语言标记)。
   4. 作业人员在运行机械设备时随意解除安全防护装置。
Major
   在Priority评估项目中满足两个。
Minor
   在Priority评估项目中满足一个。
Not Applicable
   不适用
Conformance
   1. 实施评估和控制危险机械器具和危险作业的危险性的危险性评估。
   2. 在有安全事故和重大灾害(工伤)危险的危险机械器具安装安全装置、防护装置。(例如：紧急停止装置)
   3. 有安全作业指导书、安全守则、安全保健标志。
   4. 作业人员在运行机械设备时不解除安全防护装置。 </v>
          </cell>
        </row>
        <row r="48">
          <cell r="B48" t="str">
            <v>B7) 식품/위생/기숙사</v>
          </cell>
          <cell r="C48" t="str">
            <v>식품/위생/기숙사 관련 안전보건 인허가</v>
          </cell>
          <cell r="D48" t="str">
            <v>Major
   다음 사항중 1개 이상 해당
   1. 식당(집단급식소, (한국)50인↑) 또는 기숙사 운영을 위한 허가를 취득하지 않음
   2. 식당 또는 기숙사에서 근무하는 조리사((한국) 100인↑) 및 영양사가 
       자격(조리원 보건증 포함)을 취득하지 않거나 만료됨
   3. 지하수, 지표수 등 자체 취수함에도 수질검사를 실시하지 않음
      (식수에 지역과 작업에 위험한 오염 물질이 있는지 검사)  
      * 정수기, 냉온수기 등의 설치업체의 검사결과 확보
        저수탱크를 보유하고 있으나 청소 주기가 6개월 이상, 
        위생상태 점검(육안점검) 주기가 1개월 이상으로 위생확보가 어려움
Minor
    정수기, 냉온수기 위생검사는 실시하지 않음(년 1회)
    지하수, 지표수 등 자체 취수하며 수질검사 주기 미준수
     * (한국) 1회/반기 (물탱크, 지하수)
Not Applicable
   식당 및 기숙사를 운영하지 않음
Conformance
   1. 식당 및 기숙사 운영관련 인허가를 득하고 시설에 근무하는 조리사 및 영양사 자격을 보유함 
   2. 수질검사 실시</v>
          </cell>
          <cell r="E48" t="str">
            <v>B7) Food, Sanitation and Housing</v>
          </cell>
          <cell r="F48" t="str">
            <v>Acceptance of sanitary permits</v>
          </cell>
          <cell r="G48" t="str">
            <v>Major
   One or more of the following applicable
   1. Authorization for operating cafeteria ((Korea) 50 persons↑) or dormitories not acquired
   2. Cooks ((Korea) 100 persons↑) and nutritionists working at the cafeteria or dormitory did not acquire or expired qualifications (including cook certificate)
   3. Water quality inspections not performed for water-collection tanks such as groundwater, surface water, etc.
      (Check whether there are dangerous pollutants in drinking water for the region or work) 
      * Procure inspection results of installation company such as water purifiers, water dispensers, etc.
        Possesses storage tank but cleaning period is more than 6 months and hygiene status inspection (visually inspection) period longer than 1 month, thus making it hard to procure hygiene
Minor
    Hygiene inspection for purifiers and water dispensers not performed (once a year)
    Groundwater, surface water, etc. self-collected and water quality inspection periods not observed
     * (Korea) Once/half-year (water tank, groundwater)
Not Applicable
   Does not operate cafeteria and dorm
Conformance
   1. Acquired licensing related to operation of cafeteria and dormitory, and cooks and nutritionists working at the facilities qualified
   2. Perform water quality inspection</v>
          </cell>
          <cell r="H48" t="str">
            <v xml:space="preserve">B7)食堂卫生,宿舍
</v>
          </cell>
          <cell r="I48" t="str">
            <v>食堂卫生, 宿舍认许可</v>
          </cell>
          <cell r="J48" t="str">
            <v>Major
   在下列各项中满足一个以上
   1. 没有获得运营食堂(集体供餐点，(韩国)50名以上)或宿舍的许可。
   2. 在食堂或宿舍工作的厨师((韩国)100名以上)和营养师没有获得相关资格(包括厨师健康证)或已到期。
   3. 虽然自行从地下水、地表水等取水，但是没有进行水质检查。
      (检查饮用水里是否含有对地区和作业危险的污染物质)  
      * 虽然确保了净水器、冷热水器等设备安装公司的检查结果且拥有储水罐，但是清洁周期为六个月以上、
        卫生状态检查(目视检查)周期为一个月以上等难以保证卫生。
Minor
    没有进行净水器、冷热水器的卫生检查。(每年一次)
    自行从地下水、地表水等取水，但是没有遵守水质检查周期。
     * (韩国)1次/半年(水箱、地下水)
Not Applicable
   不运营食堂和宿舍。
Conformance
   1. 获得运营食堂和宿舍的相关许可，在这些设施里工作的厨师和营养师拥有相关资格。 
   2. 进行水质检查。</v>
          </cell>
        </row>
        <row r="49">
          <cell r="B49" t="str">
            <v>B7) 식품/위생/기숙사</v>
          </cell>
          <cell r="C49" t="str">
            <v>기숙사 인프라</v>
          </cell>
          <cell r="D49" t="str">
            <v>Priority
   기숙사 및 회사에서 제공하는 작업자 거주공간에 
   화재, 위생사고 등 사고발생에 대비한 위험성평가, 비상대피계획 등이 없음
Major
   다음 사항중 1개 이상 해당:
   1. 기숙사 및 부속설비인 화장실, 욕실이 청결하지 않고 위생 요구조건을 충족하지 못함
       1) 정기적인 청소, 소독 및 해충방제 실시
       2) 화재대응 및 비상대피 설비 설치 및 유지관리
       3) 시설변경 등 발생시 위험성평가 및 대책 수립
   2. 기숙사 등 거주 인력에 대한 안전보건 교육 및 
       화재/비상대피 훈련을 실시하지 않음(1회/년 이상) 
Minor
   기숙사 및 부속설비인 화장실, 욕실이 청결하지 않고 위생관리 요구조건을 충족하나 관리절차 수립 및 기록관리는 하지 않음
Not Applicable
   기숙사 등 직원 거주시설을 운영하지 않음
Conformance
   1. 기숙사 및 회사에서 제공하는 작업자 거주공간에 대하여
      위생, 안전 등의 관리절차를 수립하여 운영 중이며 기록관리도 양호하여
      해당 공간에 거주하는 작업자가 유해위험요인에 노출되지 않음</v>
          </cell>
          <cell r="E49" t="str">
            <v>B7) Food, Sanitation and Housing</v>
          </cell>
          <cell r="F49" t="str">
            <v>Dormitory infrastructure</v>
          </cell>
          <cell r="G49" t="str">
            <v>Priority
   No risk assessment, emergency evacuation plans, etc. for accidents such s fires, hygienic accidents, etc. in worker’s residential spaces provided by dorms and company
Major
   One or more of the following applicable:
   1. Dorms and auxiliary facilities such as restrooms and bathrooms are not clean and hygiene conditions are not satisfied
       1) Perform regular cleaning, disinfection and pest prevention
       2) Install and maintain fire response and emergency evacuation facilities
       3) Establish risk assessment and plans when facility change, etc. occurs
   2. Safety and health education and fire/emergency evacuation training not performed for residing personnel such as dorms, etc. (at least once a year) 
Minor
   Dorms and auxiliary facilities such as restrooms and bathrooms are not clean and hygiene conditions are satisfied, but management procedures are not established and records are not managed
Not Applicable
   Employee residential facility such as dorm not operated
Conformance
   1. Established management procedures such as hygiene and safety, etc. for dorm or worker residential space provided by the company and is in operation, and records management is good, and workers residing in the said place are not exposed to harmful and dangerous elements</v>
          </cell>
          <cell r="H49" t="str">
            <v xml:space="preserve">B7)食堂卫生,宿舍
</v>
          </cell>
          <cell r="I49" t="str">
            <v>宿舍运营管理</v>
          </cell>
          <cell r="J49" t="str">
            <v>Priority
   宿舍和公司提供的作业人员居住场所没有进行针对火灾、卫生事故等事故发生的危险性评估，
   且没有紧急疏散计划等。
Major
   在下列各项中满足一个以上：
   1. 宿舍及卫生间、浴室等配套设施不清洁、不能满足卫生要求。
       1) 定期进行清洁、消毒以及害虫防治。
       2) 安装应对火灾和紧急疏散设备并进行维护和管理。
       3) 发生设施变更等时进行危险性评估及制定相应的措施。
   2. 对在宿舍等设施居住的人员没有进行安全保健教育及应对火灾和紧急疏散训练。(一年一次以上) 
Minor
   宿舍及卫生间、浴室等配套设施不清洁，虽然满足卫生管理要求，但是没有制定管理程序及没有对相关记录进行管理。
Not Applicable
   不运营宿舍等员工居住设施。
Conformance
   1. 对宿舍和公司提供的作业人员居住场所制定和运营卫生、安全等管理程序，相关记录的管理也比较良好，
      在这些场所居住的作业人员不会接触到有害危险因素。</v>
          </cell>
        </row>
        <row r="50">
          <cell r="B50" t="str">
            <v>B7) 식품/위생/기숙사</v>
          </cell>
          <cell r="C50" t="str">
            <v>식당 인프라</v>
          </cell>
          <cell r="D50" t="str">
            <v>Priority
   다음 사항중 1개 이상 해당:
   1. 식당 및 식자재 창고내 유통기한이 경과된 식자재가 보관되어 있음
Major
   다음 사항중 2개 이상 해당:
   1. 식당과 주방의 위생기준이 없어 청결하게 유지되지 않음
       - 조리도구 청결상태, 후드 청소상태, 위생소독기 정상가동, 위생복 착용, 출입구 소독시설, 해충방제 등
   2. 식품의 냉장, 냉동, 준비구역 구분 등 식품 보관상태가 안전하지 않음
   3. 화재, 가스누출 등에 대비한 비상대응 설비 등이 준비되지 않음 (*한국 : K급 소화기, 가스 누설감지기, 차단장치)
   4. 보존식(샘플링 후 144시간 이상 보관)을 관리하지 않음
   5. 보존식/냉동(-18℃↓), 냉장고(4℃↓) 의 온도 기록관리를 하지않음
Minor
   Major 평가항목 중 1개 이상 해당
Not Applicable
   사내 식당을 운영하지 않음
Conformance
   1. 주방 및 조리설비를 청결하게 유지하고 안전하게 관리되고 있음
   2. 식자재 구획, 종류별 냉동, 냉장, 상온 보관을 구분하여 관리함</v>
          </cell>
          <cell r="E50" t="str">
            <v>B7) Food, Sanitation and Housing</v>
          </cell>
          <cell r="F50" t="str">
            <v>Canteens infrastructure</v>
          </cell>
          <cell r="G50" t="str">
            <v>Priority
   One or more of the following applicable:
   1. Expired food ingredients stored in cafeterias and food warehouse
Major
   Two or more of the following applicable:
   1. No hygiene standard for cafeteria and kitchen, so cleanliness cannot be maintained
       - Cooking instrument cleanliness, hood cleanliness, hygiene disinfection normal operation, wear clean clothes, entrance disinfection facilities, pest prevention, etc.
   2. Food storage not safe such as differentiation of food refrigeration, freezer, and preparation areas
   3. Emergency response equipment to prepare for fire, gas leaks, etc. not prepared (*Korea: K-grade fire extinguisher, gas leak detector, blocking device)
   4. Preserved foods (stored for more than 144 hours after sampling) not managed
   5. Temperature records of preserved foods/freezer (-18℃↓), refrigerator (4℃↓) not managed
Minor
   1 or more from Major evaluation items
Not Applicable
   In-company dormitory not operated
Conformance
   1. Kitchen and cooking equipment kept clean and managed safely
   2. Managed by differentiating food ingredient zoning and freezer, refrigerator and room temperature storage per type</v>
          </cell>
          <cell r="H50" t="str">
            <v xml:space="preserve">B7)食堂卫生,宿舍
</v>
          </cell>
          <cell r="I50" t="str">
            <v>食堂运营管理</v>
          </cell>
          <cell r="J50" t="str">
            <v>Priority
   在下列各项中满足一个以上：
   1. 在食堂和食材仓库内保存着保质期已过的食材。
Major
   在下列各项中满足两个以上：
   1. 因没有食堂和厨房的卫生标准，不能保持清洁。
       - 烹饪工具的清洁状态、烟罩清洁状态、卫生消毒器的正常运行、穿卫生服、进出口消毒设施、害虫防治等
   2. 没有区分食品的冷藏、冷冻、准备区域等，食品的保存状态不安全。
   3. 没有针对火灾、气体泄漏等的紧急应对设备等。(* 韩国：K级灭火器、气体泄漏探测器和切断装置)
   4. 保存食品(取样后保存144小时以上)没有进行管理。
   5. 保存食品、冷冻库(-18℃以下)、冷藏库(4℃以下)的温度没有进行记录管理。
Minor
   在Major评估项目中满足一个以上。
Not Applicable
   不运营公司内部食堂。
Conformance
   1. 厨房和烹饪设备保持清洁并安全地进行管理。
   2. 食材进行分类后按种类区分为冷冻、冷藏、常温保存来进行管理。</v>
          </cell>
        </row>
        <row r="51">
          <cell r="B51" t="str">
            <v>B8) 안전보건 커뮤니케이션</v>
          </cell>
          <cell r="C51" t="str">
            <v>안전보건 근로자소통</v>
          </cell>
          <cell r="D51" t="str">
            <v>Priority
   다음 사항중 1개 이상 해당
   1. 작업자가 참여하여 안전보건 위험요인, 법적규제, 개선사항 등을 결정하고
      의결사항을 전 직원에게 전달하기 위한 산업안전보건위원회를 실시하지 않음
   2. 안전보건교육 계획, 프로그램을 수립하지 않고 교육도 실시하지 않음 
       - 정기안전보건교육, 특별안전보건교육, MSDS, 채용시 교육 등
       - 안전관리자/보건관리자, 안전보건관리책임자, 관리감독자 법정 의무교육
Major
   다음 사항중 2개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 교육 내용 ]
      1) 기계적, 전기적, 화학적, 화재 및 물리적 위험요인     2) 개인보호구 사용방법
      3) 비상사태 대응방법            4) 위험기계기구의 안전, 방호장치, 비상정지 방법 (Lockout Tagout)
      5) 상해 및 질병 발생시 보고절차     6) 밀폐공간 출입시 사전 조치사항
   3. 사업장내 유해 위험요인에 대한 공지가 충분하지 않음
      1) 안전보건관리규정  2) 산업안전보건위원회 결과   3) 위험성평가    4) 작업환경측정결과
      5) 산업안전보건법에 대한 임직원 숙지사항(법령요지)
Minor
   다음 사항중 1개 이상 해당
   1. 직원이 참여하는 산업안전보건위원회를 정기적으로 실시하나 주요위험요인에 대한 확인 조치결과 등이 누락됨
   2. 안전보건 교육 프로그램을 수립하여 운영중이나 최소한의 교육 요구 조건을 충족하지 못함 [교육내용 Major 참조]
   3. 사업장내 유해 위험요인에 대한 공지가 충분하지 않음 [ Major 평가항목 3번 참조 ]
Not Applicable
   해당없음
Conformance
   사업장내 모든 유해위험요인을 작업자들이 교육 등을 통해 충분히 인지하고 있음</v>
          </cell>
          <cell r="E51" t="str">
            <v>B8) Health and Safety Communication</v>
          </cell>
          <cell r="F51" t="str">
            <v xml:space="preserve">Health and Safety information </v>
          </cell>
          <cell r="G51" t="str">
            <v>Priority
   One or more of the following applicable
   1. Worker participates to determine safety health risk factors, legal regulations, improvements, etc. and industrial safety and health committee not held for notifying decisions to all employees
   2. Safety and health training plans and programs not established and training not performed 
       - Regular safety and health training, special safety and health training, MSDS, orientation training, etc.
       - Safety manager/health manager, safety and health management supervisor, management supervisor training required by law
Major
   Two or more of the following applicable
   1. Industrial safety and health committee participated by employees held regularly, but confirmation measure results on major risk factors omitted
   2. Safety and health training programs established and operated, but minimal training requirements not satisfied
      [ Training contents ]
      1) Mechanical, electric, chemical, fire and physical risk factors     2) Personal protection equipment instructions
      3) Emergency response method           4) Dangerous mechanical instrument safety, protection device, and emergency stop method (Lockout Tagout)
      5) Reporting procedures when injuries or diseases occur    6) Preemptive measures when entering closed spaces
   3. Insufficient notification on harmful risk factors in the workplace
      1) Safety and health management regulations  2) Industrial safety and health committee results   3) Risk assessment    4) Workplace environment measurement results
      5) Matters for employees to know about the industrial safety and health act (summary of law)
Minor
   One or more of the following applicable
   1. Industrial safety and health committee participated by employees held regularly, but confirmation measure results on major risk factors omitted
   2. Safety and health education program established and in operation, but minimal training requirements not satisfied [See Major issues for training]
   3. Insufficient notification on harmful risk factors within the workplace [ See Major evaluation item 3 ]
Not Applicable
   Not applicable
Conformance
   All harmful risk factors in the workplace sufficiently recogniized by employees through training, etc.</v>
          </cell>
          <cell r="H51" t="str">
            <v>B8)安全保健传递</v>
          </cell>
          <cell r="I51" t="str">
            <v>安全保健情报共享</v>
          </cell>
          <cell r="J51" t="str">
            <v>Priority
   在下列各项中满足一个以上
   1. 没有成立作业人员参与安全保健危险因素、法律规定和限制、改进事项等的决定及把议决事项传递给所有员工的
      产业安全保健委员会。
   2. 没有制定安全保健教育培训计划和程序且没有进行教育培训。 
       - 定期安全保健教育、特别安全保健教育、MSDS、聘用时的教育培训等
       - 安全管理员和保健管理员、安全保健管理负责人、管理监督员的法定义务教育
Major
   在下列各项中满足两个以上
   1. 虽然定期举行员工参与的产业安全保健委员会，但是遗漏对主要危险因素的确认及措施和结果等。
   2. 虽然制定和运营安全保健教育培训课程，但是没有满足最低限度的教育培训要求。
      [教育培训内容]
      1) 机械、电气、化学、火灾以及物理危险因素     2) 个人防护用品的使用方法
      3) 紧急情况应对方法            4) 危险机械器具的安全装置和防护装置以及紧急停止方法(Lockout Tagout)
      5) 发生伤害和疾病时的报告流程     6) 出入密闭空间时事先采取的措施
   3. 对营业场所(工厂)内有害危险因素的公告不够充分。
      1) 安全保健管理规定  2) 产业安全保健委员会会议结果   3) 危险性评估    4) 作业环境检测结果
      5) 员工们对产业安全保健法的熟悉程度(法令的要点)
Minor
   在下列各项中满足一个以上
   1. 虽然定期举行员工参与的产业安全保健委员会，但是遗漏对主要危险因素的确认及措施和结果等。
   2. 虽然制定和运营安全保健教育培训课程，但是没有满足最低限度的教育培训要求。[教育培训内容见Major]
   3. 对营业场所(工厂)内有害危险因素的公告不够充分。[见Major评估项目第三项]
Not Applicable
   不适用
Conformance
   作业人员们通过教育培训等充分认识营业场所(工厂)内的所有有害危险因素。</v>
          </cell>
        </row>
        <row r="52">
          <cell r="B52" t="str">
            <v>C1) 환경허가 및 보고</v>
          </cell>
          <cell r="C52" t="str">
            <v>환경 인허가</v>
          </cell>
          <cell r="D52" t="str">
            <v>Major
   다음 사항중 1개 이상 해당:
   1. (필수)환경관련 취득이 필요한 허가 중 1개 이상을 취득하지 않음
      1) 대기오염물질, 비산배출, 비산먼지, VOC(휘발성유기용제) (대기환경보전법)
      2) 폐수, 비점오염원 (물환경보전법)
      3) 폐기물 (폐기물관리법)
      * 기타 국가별 환경법 관련 허가 서류 확인
   2. (필수)환경관련 취득이 필요한 허가를 취득하였으나 허가 만료전에 갱신하지 않음
Minor
   1. 환경허가를 취득하였으나 
      배출시설의 변경이 발생했음에도 변경신고를 하지 않거나
      허가 기한이 만료되었음에도 갱신하지 않음
Not Applicable
   허가 취득의무 없음
Conformance
   환경관련 취득이 필요한 모든 허가를 취득하고 유효한 상태로 관리함
(필수) ⑦ 환경(대기/폐수)시설 인허가 위반</v>
          </cell>
          <cell r="E52" t="str">
            <v>C1) Environmental Permits and Reporting</v>
          </cell>
          <cell r="F52" t="str">
            <v>environmental permits, approvals, licenses and registrations</v>
          </cell>
          <cell r="G52" t="str">
            <v>Major
   One or more of the following applicable:
   1. (Mandatory) Of authorizations requiring acquisition related to the environment, 1 or more not acquired
      1) Air pollutants, scattering discharge, scattering dust, VOC (volatile organic compound) (air environment preservation act)
      2) Waste water, non-point pollution source (water environment preservation act)
      3) Wastes (waste management act)
      * Check authorization documents related to environment laws of other countries
   2. (Mandatory) Acquired authorizations needed related to the environment, but not renewed before expiration
Minor
   1. Environmental authorization acquired,
but change report not made when there were changes to discharge facilities,
or not renewed when authorization period expired
Not Applicable
   Not responsible for acquiring authorization
Conformance
   Acquire all authorizations needed related to the environment, and managed in valid status
(Mandatory) ⑦ Environment (air/waste water) facility authorization violation</v>
          </cell>
          <cell r="H52" t="str">
            <v>C1)环境审批及评价报告</v>
          </cell>
          <cell r="I52" t="str">
            <v>环境审批文件</v>
          </cell>
          <cell r="J52" t="str">
            <v>Major
   在下列各项中满足一个以上：
   1. (必须)在与环境相关的需要获得的许可中有一个以上许可没有获得。 
      1) 大气污染物、飞扬排放、飞尘、VOC(挥发性有机物)(大气环境保护法)
      2) 废水、非点污染源(水环境保护法)
      3) 废弃物(废弃物管理法)
      * 其他各国家的环境法律相关许可
   2. (必须)虽然获得了与环境相关的需要获得的许可，但是在许可到期前没有进行更新。
Minor
   1. 虽然获得了环境许可，但是在排放设施出现变更的情况下没有进行变更申报或
      许可到期也没有进行更新。
Not Applicable
   不需要获得许可。
Conformance
   获得了与环境相关的需要获得的所有许可且一直保持有效状态。
(必须) ⑦ 违反环境(大气/废水)设施许可。</v>
          </cell>
        </row>
        <row r="53">
          <cell r="B53" t="str">
            <v>C1) 환경허가 및 보고</v>
          </cell>
          <cell r="C53" t="str">
            <v>환경당국 보고</v>
          </cell>
          <cell r="D53" t="str">
            <v>Priority
   (필수)법으로 규정된 환경측정, 보고의무를 이행하지 않음
      1) 대기오염물질, 비산배출, 비산먼지, VOC(휘발성유기용제) (대기환경보전법)
      2) 폐수, 비점오염원 (물환경보전법)
      3) 폐기물 (폐기물관리법)
Major
   법으로 규정된 환경측정, 보고의무를 이행하고 있으나 일부항목이 누락됨
      1) 대기오염물질, 비산배출, 비산먼지, VOC(휘발성유기용제) (대기환경보전법)
      2) 폐수, 비점오염원 (물환경보전법)
      3) 폐기물 (폐기물관리법)
Minor
   법으로 규정된 환경측정, 보고의무를 이행하고 있으나 측정, 보고를 위한 업무 절차는 구축하지 않음
Not Applicable
   보고대상 환경허가 취득시설 없음
Conformance
   환경관련 보고 및 보고주기/보고항목이 적정하고, 서류상으로 관리함
(필수) ⑦ 환경(대기/폐수)시설 측정 주기 미준수</v>
          </cell>
          <cell r="E53" t="str">
            <v>C1) Environmental Permits and Reporting</v>
          </cell>
          <cell r="F53" t="str">
            <v>Report to environmental authorities</v>
          </cell>
          <cell r="G53" t="str">
            <v>Priority
   (Mandatory) Legally prescribed environmental regulations and reporting duties not executed
      1) Air pollutants, scattering discharge, scattering dust, VOC (volatile organic compound) (air environment preservation act)
      2) Waste water, non-point pollution source (water environment preservation act)
      3) Wastes (waste management act)
Major
   Legally prescribed environmental regulations and reporting duties executed, but partially omitted
      1) Air pollutants, scattering discharge, scattering dust, VOC (volatile organic compound) (air environment preservation act)
      2) Waste water, non-point pollution source (water environment preservation act)
      3) Wastes (waste management act)
Minor
   Legally prescribed environmental regulations and reporting duties executed, but work procedures for measuring and reporting not constructed
Not Applicable
   No facilities for acquiring environmental authorization subject to reporting
Conformance
   Environment-related reports and report period/report items are suitable and managed as documents
(Mandatory) ⑦ Environmental (air/waste water) facility measurement period not observed</v>
          </cell>
          <cell r="H53" t="str">
            <v>C1)环境审批及检测报告</v>
          </cell>
          <cell r="I53" t="str">
            <v>环境检测报告</v>
          </cell>
          <cell r="J53" t="str">
            <v>Priority
   (必须)没有履行法律规定的环境检测和报告义务。
      1) 大气污染物、飞扬排放、飞尘、VOC(挥发性有机物)(大气环境保护法)
      2) 废水、非点污染源(水环境保护法)
      3) 废弃物(废弃物管理法)
Major
   虽然履行法律规定的环境检测和报告义务，但是遗漏一些项目。
      1) 大气污染物、飞扬排放、飞尘、VOC(挥发性有机物)(大气环境保护法)
      2) 废水、非点污染源(水环境保护法)
      3) 废弃物(废弃物管理法)
Minor
   虽然履行法律规定的环境检测和报告义务，但是没有建立进行检测和报告的业务流程。
Not Applicable
   没有需要进行报告和获得环境许可的设施。
Conformance
   与环境相关的报告及报告周期和报告项目合理恰当且通过文件进行管理。
(必须) ⑦ 没有遵守环境(大气/废水)设施检测周期。</v>
          </cell>
        </row>
        <row r="54">
          <cell r="B54" t="str">
            <v>C2) 오염예방과 자원절감</v>
          </cell>
          <cell r="C54" t="str">
            <v>환경오염 예방 프로그램</v>
          </cell>
          <cell r="D54" t="str">
            <v>Priority
   오염물질, 폐기물 배출량 감축목표 미수립
Major
   오염물질, 폐기물 배출량 감축목표 수립은 했으나 실적관리는 없음
Minor
   오염물질, 폐기물 배출량 감축목표 수립, 실적을 관리 중이나 일부 항목의 실적은 미달성 
Not Applicable
   해당없음
Conformance
   사업장내에서 소비되는 모든 자원에 대하여 평가를 실시하고
   자원사용을 감축하기 위한 목표를 수립하고 시행함</v>
          </cell>
          <cell r="E54" t="str">
            <v>C2) Pollution Prevention and Resource Reduction</v>
          </cell>
          <cell r="F54" t="str">
            <v>Environmental protection program</v>
          </cell>
          <cell r="G54" t="str">
            <v>Priority
   Pollutant and waste discharge reduction goal not established
Major
   Established pollutant and waste discharge reduction goal, but performance not managed
Minor
   Established pollutant and waste discharge reduction goal, and performance being managed, but goals not reached for some items 
Not Applicable
   Not applicable
Conformance
   Perform evaluation for all resources consumed in the workplace and establish and implement goals for reducing resource use</v>
          </cell>
          <cell r="H54" t="str">
            <v>C2)预防污染和能资源节约</v>
          </cell>
          <cell r="I54" t="str">
            <v xml:space="preserve">污染预防管理 </v>
          </cell>
          <cell r="J54" t="str">
            <v>Priority
   没有制定减少污染物、废弃物排放的目标。
Major
   虽然制定了减少污染物、废弃物排放的目标，但是没有进行业绩管理。
Minor
   虽然制定了减少污染物、废弃物排放的目标且进行业绩管理，但是一些项目的业绩未达标。 
Not Applicable
   不适用
Conformance
   对在营业场所(工厂)内消费的所有资源进行评估，并制定和实施减少资源使用的目标。</v>
          </cell>
        </row>
        <row r="55">
          <cell r="B55" t="str">
            <v>C3) 유해물질</v>
          </cell>
          <cell r="C55" t="str">
            <v>유해물질 분류/저장/운송 관리</v>
          </cell>
          <cell r="D55" t="str">
            <v>Priority
   위험물 보관 및 취급을 위한 인허가를 취득하지 않거나
   위험물 및 지정폐기물 취급, 보관상태가 미흡하여 유출 등 발생시 시설, 환경오염사고로 연결됨
Major
   다음 사항중 2개 이상 해당
   1. 위험물 관리를 위한 업무절차를 수립하지 않음
       - 입출고, 보관, 공급, 사용, 폐기
   2. 신규화학물질 도입시 유해성 검토하는 절차가 없음
   3. 위험물 저장소의 설치기준을 준수하지 않음
       ① 저장소 : 내화구조, 방화문 설치, 채광, 조명, 환기설비 설치여부 확인
       ② 저장소 바닥 : 스며들지 않는 재질, 경사지게되어 집유설비가 있는지 확인
       ③ 저장소내 누출방지시설 설치 및 비상대응물품 비치여부 확인
       ④ 위험물저장소 내 전기시설 방폭형 설치 (전등, 스위치, 콘센트, 유도등, 감지기)
       ⑤ 누출감지시설, 피뢰침 설치여부 확인 (위험물저장소)
       ⑥ 성상별 분리보관, MSDS, 안전보건표지 부착
        * 허가대상에 포함되지 않는 경우 필요한 최소 준수사항
       ① 누출방지시설, ②성상별보관, ③ 안전보건표지/MSDS 비치 확인
   4. 위험물 보관장소에 재고 입출고 기록을 관리하지 않음
       (한국) 정기점검(1회/주) 기록보관 5년↑
Minor
   Major 평가 항목중 1개 이상 해당
Not Applicable
   사업장내에서 위험물을 보관 또는 사용하지 않음
Conformance
   사업장내 위험물 관리를 위한 업무절차가 수립되어 있고 사고 예방을 위한 프로세스를 구축하여 운영함</v>
          </cell>
          <cell r="E55" t="str">
            <v>C3) Hazardous Substances</v>
          </cell>
          <cell r="F55" t="str">
            <v>Hazardous Substances / Storage / Transportation Management</v>
          </cell>
          <cell r="G55" t="str">
            <v>Priority
   Authorization for dangerous material storage and handling not acquired or insufficient handling and storage for hazardous materials and designated wastes, thus connected to facility or environmental contamination accidents when leaked
Major
   Two or more of the following applicable
   1. No work procedure for managing hazardous material management established
       - Shipping and warehousing, storage, supply, use, discarding
   2. No procedure for reviewing hazards when implementing new chemical materials
   3. Installation standards of hazardous materials storage location not observed
       ① Storage area: Check for chemical-resistant structure, installation of firewalls, sunlight, lighting, ventilation facility installation
       ② Storage area floor: Check that the material does not allow permeation and check for oil collection equipment that is on a slope
       ③ Check installation of leak prevention facility and furnishing of emergency response goods within the storage area
       ④ Installation of explosion proof electric facilities within the hazardous material storage area (lights, switches, outlets, signal lights, detectors)
       ⑤ Check for leak detection facilities and installation of lightning rods (hazardous material storage area)
       ⑥ Separate storage by phase, MSDS, safety and health label attachment
        * When not included in authorized subjects, minimal items of compliance
       ① Leak prevention facility, ② Storage by phase, ③ Check storage and health label/MSDS furnishing
   4. Inventory shipping/warehousing records not managed in the hazardous material storage area
       (Korea) regular inspection (once a week) storage period 5 years ↑
Minor
   One or more of the major evaluation items applicable
Not Applicable
   Hazardous materials not used or stored within the workplace
Conformance
   There are work procedures for managing hazardous materials within the workplace and processes for preventing accidents have been constructed and are being operated</v>
          </cell>
          <cell r="H55" t="str">
            <v>C3)有害物质</v>
          </cell>
          <cell r="I55" t="str">
            <v xml:space="preserve">有害物质分类/储存/运输管理 </v>
          </cell>
          <cell r="J55" t="str">
            <v>Priority
   没有获得保存和处理危险品的许可或
   因危险品和指定废弃物的处理、保存状态不妥而发生泄漏等时导致设施、环境污染事故。
Major
   在下列各项中满足两个以上
   1. 没有制定危险品管理业务流程。
       - 进出库、保存、供应、使用、废弃
   2. 没有引进新的化学物质时分析有害性的流程。
   3. 没有遵守危险品保存场所的安装标准。
       ① 保存场所：耐火结构，安装防火门，确认采光、照明、通风换气设备的安装与否
       ② 保存场所的地板：不渗透的材料，倾泻，确认是否有集油设备
       ③ 确认在保存场所内是否安装防止泄漏设施及配备紧急应对物品
       ④ 危险品保存场所内的电气设施采用防爆式(电灯、开关、插座、指示灯、探测器)
       ⑤ 确认是否安装检测泄漏的设施及避雷针(危险品保存场所)
       ⑥ 按不同性状分类保存，贴上MSDS、安全保健标志
        * 不包括在许可对象时必要的最低限度的遵守事项
       ① 防止泄漏设施；② 按不同性状分类保存；③ 确认是否有安全保健标志和MSDS
   4. 没有对危险品保管场所的库存及进出库记录进行管理。
       (韩国)定期检查(1次/周)，记录保存五年以上
Minor
   在Major评估项目中满足一个以上。
Not Applicable
   在营业场所(工厂)内不保存或使用危险品。
Conformance
   制定了管理营业场所(工厂)内危险品的业务流程，且建立和运营预防事故的程序。</v>
          </cell>
        </row>
        <row r="56">
          <cell r="B56" t="str">
            <v>C3) 유해물질</v>
          </cell>
          <cell r="C56" t="str">
            <v>처리업체 실사</v>
          </cell>
          <cell r="D56" t="str">
            <v>Priority
   1. (필수)지정폐기물 운반, 처리허가를 받은 업체와 계약하지 않고 불법으로 배출
   2. (필수)지정폐기물 보관소를 설치하지 않음
Major
   다음 사항중 2개 이상 해당:
   1. 사업장내 보관시설을 설치하였으나 분리가 되지 않고 누출 방지시설도 적절하게 관리되지 않음
   2. 폐기물업체가 비용 정산을 위한 보증보험증권을 보유하지 않음
   3. 지정폐기물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설치하고 성상별 분리보관하고 있으나 누출 방지시설이 적절하게 관리되지 않음
   2. 폐기물업체가 비용 정산을 위한 보증보험증권을 보유하고 있으나 기한 만료후 갱신하지 않음
Not Applicable
   사업장에서 지정폐기물이 발생하지 않음
Conformance
   지정폐기물을 적법한 처리업체를 통해 배출하고 있으며 폐기물 분리 보관장 설치도 적법하게 관리함
(필수) ⑨ 폐기물, 폐수 미계약 불법처리, 지정폐기물보관소 미설치</v>
          </cell>
          <cell r="E56" t="str">
            <v>C3) Hazardous Substances</v>
          </cell>
          <cell r="F56" t="str">
            <v>On-site inspection of waste disposal companies</v>
          </cell>
          <cell r="G56" t="str">
            <v>Priority
   1. (Mandatory) Discharged illegally without entering a contract with a vendor authorized for transporting and handling designated wastes
   2. (Mandatory) Designated waste storage area not installed
Major
   Two or more of the following applicable
   1. Storage facility installed within the workplace, but it is not separated and leak prevention facilities are not managed appropriately
   2. Waste vendor does not possess surety insurance certificate for payment of costs
   3. Due diligence for designated waste vendor not performed
   * Despite contracts being renewed and maintained with the same company, surety insurance and on-site due diligence, etc. not performed at least every 3 years
Minor
   One or more of the following applicable:
   1. Storage facility installed within the workplace and is separated, but leak prevention facilities are not managed appropriately
   2. Waste vendor possesses surety insurance certificate for settlement of costs, but was not renewed after expiration
Not Applicable
   Designated wastes not generated at the workplace
Conformance
   Designated wastes discharged through a legal handling vendor and waste separate storage area also installed and managed according to laws
(Mandatory) ⑨ Wastes, waste water non-contracted and illegally disposed of; designated waste storage area not installed</v>
          </cell>
          <cell r="H56" t="str">
            <v>C3)有害物质</v>
          </cell>
          <cell r="I56" t="str">
            <v>有害物质处理企业实地调查</v>
          </cell>
          <cell r="J56" t="str">
            <v>Priority
   1. (必须)没有与获得指定废弃物运输和处理许可的企业签订合同，而是非法进行排放。
   2. (必须)没有设指定废弃物保存场所。
Major
   在下列各项中满足两个以上：
   1. 虽然在营业场所(工厂)内设了保存设施，但是没有分开进行保存且泄漏防止设施也没有进行妥善管理。
   2. 废弃物处理企业没有用于结算费用的保证保险证券。
   3. 没有对指定废弃物处理企业进行实地调查。
   * 虽然与同一家企业持续更新和维持合同，但是没有进行至少每三年一次实施的保证保险和实地调查等。
Minor
   在下列各项中满足一个以上：
   1. 虽然在营业场所(工厂)内设了保存设施并按照不同性状分开进行保存，但是没有妥善管理泄漏防止设施。
   2. 虽然废弃物处理企业有用于结算费用的保证保险证券，但是在到期后没有进行更新。
Not Applicable
   在营业场所(工厂)不产生指定废弃物。
Conformance
   通过合法处理企业排放指定废弃物，设置的废弃物分类保存场所也合法进行管理。
(必须) ⑨ 废弃物、废水等没有与专业企业签约而是非法进行处理，没有设指定废弃物保存场所。</v>
          </cell>
        </row>
        <row r="57">
          <cell r="B57" t="str">
            <v>C4) 폐수 및 고체폐기물</v>
          </cell>
          <cell r="C57" t="str">
            <v>고형폐기물 관리</v>
          </cell>
          <cell r="D57" t="str">
            <v>Priority
   일반폐기물 운반, 처리허가를 받은 업체와 계약하지 않은채 불법으로 배출
Major
   다음 사항중 1개 이상 해당:
   1. 사업장내 보관시설이 없고, 분리 보관하지 않음
   2. 폐기물업체가 비용 정산을 위한 보증보험증권을 보유하지 않음
   3. 일반폐기물 처리업체에 대한 실사를 진행하지 않음
   * 동일업체와 지속적으로 계약을 갱신하여 유지하고 있음에도 최소 3년마다 보증보험, 현장 실사 등을 실시하지 않음
Minor
   다음 사항중 1개 이상 해당:
   1. 사업장내 보관시설을 설치하였으나 성상별 분리보관 하지 않음 
   2. 폐기물업체가 비용 정산을 위한 보증보험증권을 보유하고 있으나
      기한 만료후 갱신하지 않음 (기간만료의 의미가 없음, Major 평가 기준과 동일한 것으로 보임)
Not Applicable
   사업장에서 고형폐기물이 발생하지 않음
Conformance
   고형폐기물을 적법한 처리업체를 통해 배출하고 있으며
   폐기물 분리 보관장 설치도 적법하게 관리함</v>
          </cell>
          <cell r="E57" t="str">
            <v>C4) Wastewater and Solid Waste</v>
          </cell>
          <cell r="F57" t="str">
            <v>Solid waste management</v>
          </cell>
          <cell r="G57" t="str">
            <v>Priority
   Disposed of illegally without entering contract with vendor approved for general waste transportation and handling
Major
   One or more of the following applicable:
   1. No storage facility in the workplace and not stored separately
   2. Waste vendor does not possess surety insurance certificate for payment of costs
   3. Due diligence for general waste vendor not performed
   * Despite contracts being renewed and maintained with the same company, surety insurance and on-site due diligence, etc. not performed at least every 3 years
Minor
   One or more of the following applicable:
   1. Storage facility installed within the workplace but not separately stored by phase
   2. Waste vendor possesses surety insurance certificate for payment of expenses, but not renewed after expiring (no meaning of expiration, appears to be the same as the Major evaluation standards)
Not Applicable
   Solid wastes not generated at the workplace
Conformance
   Solid wastes are discharged through a legal handling vendor and separate waste storage area als installed and managed according to the law</v>
          </cell>
          <cell r="H57" t="str">
            <v>C4)废水和固体废弃物</v>
          </cell>
          <cell r="I57" t="str">
            <v>固体危险废弃物管理</v>
          </cell>
          <cell r="J57" t="str">
            <v>Priority
   没有与获得普通废弃物运输和处理许可的企业签订合同，而是非法进行排放。
Major
   在下列各项中满足一个以上：
   1. 营业场所(工厂)内没有保存设施，且没有分开进行保存。
   2. 废弃物处理企业没有用于结算费用的保证保险证券。
   3. 没有对普通废弃物处理企业进行实地调查。
   * 虽然与同一家企业持续更新和维持合同，但是没有进行至少每三年一次实施的保证保险和实地调查等。
Minor
   在下列各项中满足一个以上：
   1. 虽然在营业场所(工厂)内设了保存设施，但是没有按不同性状分开进行保存。
   2. 虽然废弃物处理企业有用于结算费用的保证保险证券，但是在到期后没有进行更新。
      (没有到期意义，认为与Major评价标准相同)
Not Applicable
   在营业场所(工厂)不产生固体废弃物。
Conformance
   通过合法处理企业排放固定废弃物，设置的废弃物分类保存场所也合法进行管理。</v>
          </cell>
        </row>
        <row r="58">
          <cell r="B58" t="str">
            <v>C5) 대기 배출</v>
          </cell>
          <cell r="C58" t="str">
            <v>대기 배출기준 준수</v>
          </cell>
          <cell r="D58" t="str">
            <v>Priority
   (필수)대기오염물질 배출허가 기준을 초과 배출하거나
          또는, 오염방지시설을 이용하여 처리하지 않은채 불법으로 배출
Major
   다음 사항중 1개 이상 해당
   1. 대기오염물질  처리를 담당하는 인력이 의무 교육을 이수하지 않음
   2. 대기배출방지시설의 부적합 관리(팬벨트, 활성탄, 필터 등)
Minor
   대기배출방지시설의 운영일지가 없거나 일부 누락 작성(서류)
Not Applicable
   대기오염배출시설이 없거나, 
   사업장이 산업단지 내 위치하고 있어 대기오염 규제대상 사업장에 해당하지 않음
Conformance
   대기오염물질 배출시설에 대하여 정기측정, 시설관리, 운영일지를 적합하게 관리함 
(필수) ⑧ 대기배출 측정 결과 법기준 미준수</v>
          </cell>
          <cell r="E58" t="str">
            <v>C5) Air Emissions</v>
          </cell>
          <cell r="F58" t="str">
            <v>Compliance with Air Emission Standards</v>
          </cell>
          <cell r="G58" t="str">
            <v>Priority
   (Mandatory) Discharge in excess of the air pollutant discharge approval level or illegal discharge without processing using pollution prevention facilities
Major
   One or more of the following applicable
   1. Personnel in charge of handling air pollutants did not complete required training
   2. Nonconformity management of air discharge prevention facility (fan belt, activated carbon, filter, etc.)
Minor
   No operation journal of air discharge prevention facility or drafted with partial omission (document)
Not Applicable
   No air pollution discharge facility or workplace located within the industrial complex, thus not being a workplace subject to air pollution regulations
Conformance
   Appropriately manages regular measurement, facility management, operation log for facilities that discharge air pollutants 
(Mandatory) ⑧ Air discharge measurement results do not comply with legal standards</v>
          </cell>
          <cell r="H58" t="str">
            <v>C5)废气排放</v>
          </cell>
          <cell r="I58" t="str">
            <v>废气排放标准准守</v>
          </cell>
          <cell r="J58" t="str">
            <v>Priority
   (必须)排放的大气污染物超过许可标准或
         没有利用污染防止设施进行处理而非法进行排放。
Major
   在下列各项中满足一个以上
   1. 负责处理大气污染物的人员没有接受义务教育培训。
   2. 大气排放防止设施的管理不合格(风扇皮带、活性炭、过滤器等)。
Minor
   大气排放防止设施没有运营日志或遗漏一部分内容(文件)。
Not Applicable
   没有大气污染排放设施或 
   因营业场所(工厂)位于产业园区内，不属于大气污染限制对象营业场所(工厂)。
Conformance
   对大气污染物排放设施定期进行检测和设施管理，并妥善管理运营日志。 
(必须) ⑧ 通过检测大气排放发现没有遵守法律规定的标准。</v>
          </cell>
        </row>
        <row r="59">
          <cell r="B59" t="str">
            <v>C5) 대기 배출</v>
          </cell>
          <cell r="C59" t="str">
            <v>법정소음기준 준수</v>
          </cell>
          <cell r="D59" t="str">
            <v>Major
   환경소음 규제 대상 사업장 임에도 측정을 하지 않거나 
   초기측정을 실시하지 않아 규제대상 여부를 인지하지 못함
Minor
   환경소음 규제 대상 사업장이고, 측정을 실시하고 있으나 
   소음 수준이 법적기준을 초과함
Not Applicable
   사업장에서 환경소음이 발생하지 않거나, 
   사업장이 국가/지방 지정 산업단지 등에 위치하고 있어 환경소음 규제대상 사업장에 해당하지 않음
Conformance
   사업장 환경소음 측정결과 법적기준 준수 (1회/년 이상 측정 실시)</v>
          </cell>
          <cell r="E59" t="str">
            <v>C5) Air Emissions</v>
          </cell>
          <cell r="F59" t="str">
            <v>Compliance with statutory noise standards</v>
          </cell>
          <cell r="G59" t="str">
            <v xml:space="preserve">Major
   Despite being a workplace subject to environmental noise regulation, initial measurements not performed, and unaware whether it is subject to regulations
Minor
   Workplace subject to environmental noise regulations and measurements performed, but noise levels exceed legal standards
Not Applicable
   Environmental noise not generated in the workplace, or the workplace is located within a national/provincial designated industrial complex, and therefore, the workplace is not subject environmental noise regulations
Conformance
   Workplace environmental noise measurement results comply with legal standards (perform at least once a year)
</v>
          </cell>
          <cell r="H59" t="str">
            <v>C5)废气排放</v>
          </cell>
          <cell r="I59" t="str">
            <v>法定噪音标准准守</v>
          </cell>
          <cell r="J59" t="str">
            <v xml:space="preserve">Major
   虽然是环境噪音限制对象营业场所(工厂)，但是没有进行检测或 
   因没有实施初期检测而不知道是否为限制对象。
Minor
   属于环境噪音限制对象营业场所(工厂)，虽然进行检测，但是噪音超过法定标准。
Not Applicable
   在营业场所(工厂)不产生环境噪音或 
   因营业场所(工厂)位于国家、地方指定产业园区内等，不属于环境噪音限制对象营业场所(工厂)。
Conformance
   营业场所(工厂)的环境噪音遵守法定标准。(每年检测一次以上)
</v>
          </cell>
        </row>
        <row r="60">
          <cell r="B60" t="str">
            <v>C6) 제품 함유 물질 규제</v>
          </cell>
          <cell r="C60" t="str">
            <v>제품 함유 물질 규제 프로그램</v>
          </cell>
          <cell r="D60" t="str">
            <v>Priority
   제품환경관리물질 관리프로세스가 없고, 제품/부품이 관리기준에 문제가 있음
Major
   제품환경관리물질 관리프로세스가 있으나, 제품/부품이 관리기준 2개 이하 부적합
Minor
   제품환경관리물질 관리프로세스가 있으나, 제품/부품이 관리기준 1개 부적합
Not Applicable
   해당없음
Conformance
   법적 요청이나 고객 요구 사항에 대하여 해당되는 문제가 없음
   * 제품, 부품 재료에 대한 정밀분석Data, 원재료 성분표(MSDS), 제품환경보증서 제출 및 관리기준 적합</v>
          </cell>
          <cell r="E60" t="str">
            <v>C6) Materials Restrictions</v>
          </cell>
          <cell r="F60" t="str">
            <v xml:space="preserve">Materials Restriction Program
</v>
          </cell>
          <cell r="G60" t="str">
            <v>Priority
   There is no product environment management material management process and product/parts have issues with management standards
Major
   There is a product environment management material management process and 2 or less product/parts do not conform with management standards
Minor
   There is a product environment management material management process and 1 product/part does not conform with management standards
Not Applicable
   Not applicable
Conformance
   No applicable issues regarding legal requests or customer demands
   * Precision analysis data for products/parts materials, raw material ingredient table (MSDS), product environment guarantee submissions, and management standards suitable</v>
          </cell>
          <cell r="H60" t="str">
            <v>C6)产品管制</v>
          </cell>
          <cell r="I60" t="str">
            <v xml:space="preserve">产品管制程序 </v>
          </cell>
          <cell r="J60" t="str">
            <v>Priority
   没有产品环境管理物质的管理流程，产品和零部件的管理标准存在问题。
Major
   虽然具有产品环境管理物质的管理流程，但是产品和零部件与两个以下管理标准不符。
Minor
   虽然具有产品环境管理物质的管理流程，但是产品和零部件与一个管理标准不符。
Not Applicable
   不适用
Conformance
   对法律要求或客户要求事项没有相应的问题。
   * 提交产品、零部件材料的精密分析数据、原材料成分表(MSDS)、产品环境保证书及符合管理标准。</v>
          </cell>
        </row>
        <row r="61">
          <cell r="B61" t="str">
            <v>C7) 수자원 관리</v>
          </cell>
          <cell r="C61" t="str">
            <v>빗물오염 및 배출관리</v>
          </cell>
          <cell r="D61" t="str">
            <v>Priority
   (필수)폐수 배출허가 기준을 초과 배출하거나 
          또는, 수처리시설을 이용하여 처리하지 않은채 불법으로 방류
Major
   다음 사항중 2개 이상 해당
   1. 오폐수 처리를 담당하는 인력이 의무 교육을 이수하지 않음
   2. 폐수처리시설의 부적합 관리(화학약품, 활성탄, 필터 등)
Minor
   폐수처리시설의 운영일지가 없거나 일부 누락 작성(서류)
Not Applicable
   폐수 또는 화학물질 배출이 없음
Conformance
   오폐수 배출시설에 대하여 정기측정, 시설관리, 운영일지를 적합하게 관리함
(필수) ⑧ 오폐수 배출 측정 결과 법기준 미준수</v>
          </cell>
          <cell r="E61" t="str">
            <v>C7) Water Management</v>
          </cell>
          <cell r="F61" t="str">
            <v>Management of pollutant discharge by rainwater</v>
          </cell>
          <cell r="G61" t="str">
            <v>Priority
   (Mandatory) Discharge in excess of the waste water discharge approval level or illegal discharge without processing using water treatment facilities
Major
   Two or more of the following applicable
   1. Personnel in charge of handling waste water did not complete required training
   2. Nonconformity management of waste water treatment facility (chemicals, activated carbon, filter, etc.)
Minor
   No operation journal of waste water treatment facility or drafted with partial omission (document)
Not Applicable
   No waste water or chemical substance discharge
Conformance
   Appropriately manages regular measurement, facility management, operation log for facilities that discharge waste water
(Mandatory) ⑧ Waste water discharge measurement results do not comply with legal standards</v>
          </cell>
          <cell r="H61" t="str">
            <v>C7)水管理</v>
          </cell>
          <cell r="I61" t="str">
            <v>雨水污染及排放管理</v>
          </cell>
          <cell r="J61" t="str">
            <v>Priority
   (必须)废水的排放超过许可的排放标准或 
         没有利用水处理设施进行处理而非常进行排放。
Major
   在下列各项中满足两个以上
   1. 负责处理污水和废水的人员没有接受义务教育培训。
   2. 废水处理设施的管理不合格(化学药品、活性炭、过滤器等)。
Minor
   废水处理设施没有运营日志或遗漏一部分内容(文件)。
Not Applicable
   不排放废水或化学物质。
Conformance
   对污水和废水排放设施定期进行检测和设施管理，并妥善管理运营日志。
(必须) ⑧ 通过检测污水和废水排放发现没有遵守法律规定的标准。</v>
          </cell>
        </row>
        <row r="62">
          <cell r="B62" t="str">
            <v>C8) 에너지 소비, 온실가스 배출</v>
          </cell>
          <cell r="C62" t="str">
            <v>에너지/온실가스 배출량 관리</v>
          </cell>
          <cell r="D62" t="str">
            <v>Major
   1. 에너지 사용량을 관리하지 않거나 누락된 항목이 확인됨
   2. 여러회사가 공동으로 사용하는 시설에서 평가대상 회사의 에너지 사용량을 구분하여 
       관리할 수 있음에도 에너지 사용량 및 온실가스 배출량을 관리하지 않음
Minor
   에너지 사용량은 관리하고 있으나 온실가스 배출량으로 환산하지는 않음
Not Applicable
   에너지 비용을 자체 부담하지 않거나, 
   임대건물 입주시 에너지비용을 사용량에 기준하여 정산하지 않고 정액으로 정산하고 있어 실사용량 확인 불가
Conformance
   에너지 사용량 및 온실가스 배출량을 관리하며 문서화함</v>
          </cell>
          <cell r="E62" t="str">
            <v>C8) Energy Consumption and Greenhouse Gas Emissions</v>
          </cell>
          <cell r="F62" t="str">
            <v>Energy consumption and GHG emissions management</v>
          </cell>
          <cell r="G62" t="str">
            <v>Major
   1. Energy usage not managed or omissions found
   2. Despite energy usage of the company being evaluated can be managed for facilities jointly used by multiple companies, energy usage and greenhouse gas emissions not managed
Minor
   Energy usage managed, but not converted to greenhouse gas emissions
Not Applicable
   Energy costs not borne or not settled based on the usage of energy costs at the time of moving into the leased building, and is instead paid at a fixed rate, and therefore, the actual usage cannot be verified
Conformance
   Energy usage and greenhouse gas emissions managed and documented</v>
          </cell>
          <cell r="H62" t="str">
            <v>C8)能源消耗，减少温室气体排放</v>
          </cell>
          <cell r="I62" t="str">
            <v>能源/温室气体排放量管理</v>
          </cell>
          <cell r="J62" t="str">
            <v>Major
   1. 不管理能源使用量或确认有遗漏的项目。
   2. 在几家公司共同使用的设施，即使能够分出评估对象公司的能源使用量进行管理， 
      也不管理能源使用量和温室气体排放量。
Minor
   虽然管理能源使用量，但是不换算为温室气体排放量。
Not Applicable
   不自行承担能源费用或 
   因入住租赁建筑时能源费用不是按照使用量进行计算而是定额支付，所以无法确认实际使用量。
Conformance
   管理能源使用量和温室气体排放量并编制成文件。</v>
          </cell>
        </row>
        <row r="63">
          <cell r="B63" t="str">
            <v>C8) 에너지 소비, 온실가스 배출</v>
          </cell>
          <cell r="C63" t="str">
            <v>에너지/온실가스 절감계획</v>
          </cell>
          <cell r="D63" t="str">
            <v>Major
   다음 사항중 1개 이상 해당
   1. 에너지, 온실가스 절감항목 파악을 위한 업무절차가 없음
   2. 에너지, 온실가스 절감항목을 발굴하였으나 절감계획을 수립하지 않음
Minor
   에너지 효율향상 및 온실가스 배출량 절감을 위한 계획을 수립하여 실행중이나
   에너지 및 온실가스 배출량 절감 실적을 기록관리하지 않음
Not Applicable
   사업장에서 사용하는 에너지 비용을 자체 부담하지 않거나,
   임대건물 입주시 에너지비용을 사용량에 기준하여 정산하지 않고 정액으로 정산하고 있어 실사용량 확인 불가
Conformance
   에너지 사용 및 온실가스 배출 절감계획을 수립하고 항목별, 월별 절감량 실적을 기록하여 관리함</v>
          </cell>
          <cell r="E63" t="str">
            <v>C8) Energy Consumption and Greenhouse Gas Emissions</v>
          </cell>
          <cell r="F63" t="str">
            <v>Reduction Plan for Energy Consumption and Greenhouse Emissions</v>
          </cell>
          <cell r="G63" t="str">
            <v>Major
   One or more of the following applicable
   1. No work procedures for identifying energy and greenhouse gas conservation items
   2. Energy and greenhouse gas conservation items found, but conservation plans not established
Minor
   Plans for improving energy efficiency and reducing greenhouse gas emissions established and implemented, but energy and greenhouse gas emissions reduction performance not recorded and managed
Not Applicable
   Energy costs used at the workplace not borne or not settled based on the usage of energy costs at the time of moving into the leased building, and is instead paid at a fixed rate, and therefore, the actual usage cannot be verified
Conformance
   Established energy usage and greenhouse gas emissions reduction plans and record conservation performance per item and month for management</v>
          </cell>
          <cell r="H63" t="str">
            <v>C8)能源消耗，减少温室气体排放</v>
          </cell>
          <cell r="I63" t="str">
            <v>能源/温室气体减少计划</v>
          </cell>
          <cell r="J63" t="str">
            <v>Major
   在下列各项中满足一个以上
   1. 没有掌握能源和温室气体节减项目的业务流程。
   2. 虽然发掘了能源和温室气体节减项目，但是没有制定节减计划。
Minor
   虽然制定并实施提高能源效率及减少温室气体排放的计划，
   但是没有记录和管理节减能源使用和温室气体排放的业绩。
Not Applicable
   不自行承担在营业场所(工厂)使用的能源费用或
   因入住租赁建筑时能源费用不是按照使用量进行计算而是定额支付，所以无法确认实际使用量。
Conformance
   制定减少能源使用和温室气体排放的计划，按各项目、按月记录和管理节减量。</v>
          </cell>
        </row>
        <row r="64">
          <cell r="B64" t="str">
            <v>D1) 기업 청렴성</v>
          </cell>
          <cell r="C64" t="str">
            <v>반부패 정책, 이해상충 보고 장려</v>
          </cell>
          <cell r="D64" t="str">
            <v>ㆍPriority :  조사, 시정조치 계획 또는 시정조치 계획 없이 확인된 윤리 위반 사례(D 섹션 모두) ※ D03.01에 열거된 허위문서 제외
ㆍMajor   : ① 상세하고 이해 가능한 정책과 절차가 없는 경우
             ② 확인된 사례가 조사되고 문서화 되었지만 시정조치가 수행되지 않은 경우
ㆍMinor   : ① 정책 또는 절차 또는 이행의 일부만 보유
              ② 정책 또는 절차에 명시된 기간 내에 시정조치 계획을 완료하지 않은 사례 확인</v>
          </cell>
          <cell r="E64" t="str">
            <v>D1) Business Integrity</v>
          </cell>
          <cell r="F64" t="str">
            <v>Anti-corruption policy, Encouraging to report on conflict of interest</v>
          </cell>
          <cell r="G64" t="str">
            <v>ㆍPriority : Confirmed case of Ethics breach (all of D section) without investigation or corrective action plan or corrective action plan not implemented) 
               excluding fraudulent documents which is listed in D03.01)  
ㆍMajor   : ① No detailed and understandable policy and procedures implemented
               ② Confirmed case has been documented and investigated but no progress has been made to implement corrective action
ㆍMinor   : ① Partial policy or procedures or implementation
               ② Confirmed case without completed corrective action plan within the timeline specified in the procedures and/or policy. 
※ Required Documents and Records
   - Business conduct guidelines / Code of Ethics                      -  Distribution or training process on Code of Ethics to employees
- Policy on company donations and sponsorships                - Policy on ethics, anti corruption and bribery
- Procedure for ethics breach investigation                            - Business registration</v>
          </cell>
          <cell r="H64" t="str">
            <v>D1)商业诚信</v>
          </cell>
          <cell r="I64" t="str">
            <v>反腐败政策制定、奖励鼓励声明利益冲突</v>
          </cell>
          <cell r="J64" t="str">
            <v>ㆍMajor   : 措施, 修改措施 计划 或无 修改措施计划缺人的伦理违反事例(D section 全部) (D03.01列举的虚假文件除外)
ㆍMinor   : ① 详细可理解的政策和流程 無
               ② 缺人的事调查文件化, 但修改措施不能实行情况
[提供的基本文档和记录]
• 商业行为指引/道德准则
• 员工道德准则的传达或培训流程
• 公司捐献和赞助的政策
• 道德、反腐败和贿赂的政策
• 违反道德的调查程序
• 业务登记</v>
          </cell>
        </row>
        <row r="65">
          <cell r="B65" t="str">
            <v>D2) 부당이익 금지</v>
          </cell>
          <cell r="C65" t="str">
            <v>뇌물수수 금지</v>
          </cell>
          <cell r="D65" t="str">
            <v>ㆍPriority : 뇌물 또는 부당이익이 조사되지 않거나 시정 조치 계획이 없는 경우
ㆍMajor  : 상세하고 이해가능한 정책과 이행절차(예. 의사소통, 교육, 유지 기록)가 없는 경우
ㆍMinor  : 정책 또는 절차 또는 이행사항(예. 의사소통, 교육, 유지 기록)의 일부만 보유하는 경우</v>
          </cell>
          <cell r="E65" t="str">
            <v>D2) No Improper Advantage</v>
          </cell>
          <cell r="F65" t="str">
            <v>Prohibition of Bribery</v>
          </cell>
          <cell r="G65" t="str">
            <v>ㆍPriority : Confirmed case of bribery or improper advantage not investigated or without corrective action plan.
ㆍMajor  : No detailed and understandable policy and procedures implemented
ㆍMinor  : Partial policy or procedures or implementation
※ Required Documents and Records
   - Policy that ensures gifts to or from suppliers and customers is not excessive in cost and frequency and hospitality, expenses or promises
- Training material for management, supervisors and workers and training records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v>
          </cell>
          <cell r="H65" t="str">
            <v>D2)不正当利益</v>
          </cell>
          <cell r="I65" t="str">
            <v>禁止收受贿赂</v>
          </cell>
          <cell r="J65" t="str">
            <v>ㆍPriority : 礼物或不正利益不能调查或没有改正措施计划
ㆍMajor  :  详细可理解的 政策和无实行程序
ㆍMinor  :  政策或程序或实行是想部分保留的情况
[提供的基本文档和记录]
• 有关政策，确保来自供应商和客户的礼品或向供应商和客户提供的礼品在费用、频率和好客程度、支出或承诺上不过分
• 管理层、主管和工人的培训资料和培训记录
• 制定了有效的程序，针对工人或代理涉嫌提供或收受金钱或礼品以及各种形式的行贿、受贿
• 制定和采用调查程序和后续制裁
• 处罚程序/政策
• 处罚记录</v>
          </cell>
        </row>
        <row r="66">
          <cell r="B66" t="str">
            <v>D3) 정보공개</v>
          </cell>
          <cell r="C66" t="str">
            <v>기록위조/허위진술 금지</v>
          </cell>
          <cell r="D66" t="str">
            <v>ㆍPriority: 허위 문서가 발견되는 경우
ㆍMajor: 상세하고 이해가능한 정책과 이행 절차가 없는 경우
ㆍMinor: 정책 또는 절차 또는 이행사항의 일부만 보유하는 경우</v>
          </cell>
          <cell r="E66" t="str">
            <v>D3) Disclosure of Information</v>
          </cell>
          <cell r="F66" t="str">
            <v>Prohibition of record falsification and misrepresentation</v>
          </cell>
          <cell r="G66" t="str">
            <v>ㆍPriority : Documents are fraudulent.
ㆍMajor   : No detailed and understandable policy and procedures implemented.
ㆍMinor   : Partial policy or procedures or implementation
※ Required Documents and Records
   - Non-disclosure agreement template/form                           - Non-disclosure agreements with suppliers and customers
- Non-disclosure agreements with service providers</v>
          </cell>
          <cell r="H66" t="str">
            <v>D3)信息披露</v>
          </cell>
          <cell r="I66" t="str">
            <v>伪造记录/禁止虚假陈述</v>
          </cell>
          <cell r="J66" t="str">
            <v>ㆍPriority: 虚假文件
ㆍMajor  : 详细可理解的 政策和无实行程序
ㆍMinor  :  政策或程序或实行是想部分保留的情况
[提供的基本文档和记录]
• 非披露协议模板/表格
• 与供应商和客户的非披露协议
• 与服务供应商的非披露协议</v>
          </cell>
        </row>
        <row r="67">
          <cell r="B67" t="str">
            <v>D4) 지적재산</v>
          </cell>
          <cell r="C67" t="str">
            <v>지적재산 보호</v>
          </cell>
          <cell r="D67" t="str">
            <v xml:space="preserve">ㆍMajor  : 상세하고 이해 가능한 정책과 이행 절차가 없는 경우
ㆍMinor  : 정책, 절차 또는 이행이 전부가 아닌 일부만 적용되어 있는 경우
</v>
          </cell>
          <cell r="E67" t="str">
            <v>D4) Intellectual Property</v>
          </cell>
          <cell r="F67" t="str">
            <v>Intellectual property protection</v>
          </cell>
          <cell r="G67" t="str">
            <v>ㆍMajor   : No detailed and understandable policy and procedures implemented
ㆍMinor   : Partial policy or procedures or implementation
※ Required Documents and Records
   - Intellectual property review and protection policies</v>
          </cell>
          <cell r="H67" t="str">
            <v>D4)知识产权</v>
          </cell>
          <cell r="I67" t="str">
            <v>保护知识产权</v>
          </cell>
          <cell r="J67" t="str">
            <v>ㆍMajor  : 无详细且明确的政策和执行程序
ㆍMinor  : 有部分政策或程序或执行事项
[提供的基本文档和记录]
• 知识产权的审查和保护政策</v>
          </cell>
        </row>
        <row r="68">
          <cell r="B68" t="str">
            <v>D5) 공정거래/광고/경쟁</v>
          </cell>
          <cell r="C68" t="str">
            <v>부정확한 정보 공개 금지</v>
          </cell>
          <cell r="D68" t="str">
            <v xml:space="preserve">ㆍMajor  : 상세하고 이해 가능한 정책과 이행 절차가 없는 경우
ㆍMinor  : 정책, 절차 또는 이행이 전부가 아닌 일부만 적용되어 있는 경우
</v>
          </cell>
          <cell r="E68" t="str">
            <v>D5) Fair Business, Advertising and Competition</v>
          </cell>
          <cell r="F68" t="str">
            <v xml:space="preserve">Prohibition of communicating inaccurate information to public
</v>
          </cell>
          <cell r="G68" t="str">
            <v>ㆍMajor   : No detailed and understandable policy and procedures implemented
ㆍMinor  : Partial policy or procedures or implementation
※ Required Documents and Records
   - Annual financial report independently audited by financial audit firm    - Fair business / anti collusion policy
   - Advertising policy/communications policy                                       - Advert/job advert</v>
          </cell>
          <cell r="H68" t="str">
            <v>D5)公平交易,广告和竞争</v>
          </cell>
          <cell r="I68" t="str">
            <v>禁止传达不准确的信息</v>
          </cell>
          <cell r="J68" t="str">
            <v>ㆍMajor  : 详细可理解的政策和实行程序 無
ㆍMinor  : 政策 或 程序 实行事项 部分持有
[提供的基本文档和记录]
• 由财务审计公司独立审计的年度财务报告
• 公平交易/反勾结政策
• 广告政策/沟通政策
• 广告/工作广告</v>
          </cell>
        </row>
        <row r="69">
          <cell r="B69" t="str">
            <v>D6) 신원보호, 보복금지</v>
          </cell>
          <cell r="C69" t="str">
            <v>신원보호 및 내부고발자 보호</v>
          </cell>
          <cell r="D69" t="str">
            <v xml:space="preserve">ㆍMajor  : 상세하고 이해 가능한 정책과 이행 절차가 없는 경우
ㆍMinor  : 정책, 절차 또는 이행이 전부가 아닌 일부만 적용되어 있는 경우
</v>
          </cell>
          <cell r="E69" t="str">
            <v>D6) Protection of Identity and Non-Retaliation</v>
          </cell>
          <cell r="F69" t="str">
            <v>Whistle-blower protection</v>
          </cell>
          <cell r="G69" t="str">
            <v>ㆍMajor   : No detailed and understandable policy and procedures implemented
ㆍMinor  : Partial policy or procedures or implementation
※ Required Documents and Records
   - Information provided to workers and external stakeholders on how to confidentially report business ethics issues of concern
- Policy/procedure on “whistle blowing”
- Procedure for confidential investigation and resulting actions on a “whistle blow”
- Statistics on “whistle blowing for last 12 months)
- Clear communications to workers/employees on non-retaliation.
- Procedures to investigate possible retaliation allegations.
- Training material and training records / Annual refresher training on non-retaliation</v>
          </cell>
          <cell r="H69" t="str">
            <v>D6)身份保护和杜绝打击报复</v>
          </cell>
          <cell r="I69" t="str">
            <v>保护内部检举者</v>
          </cell>
          <cell r="J69" t="str">
            <v>ㆍMajor   : 详细可理解的政策和实行程序 無
ㆍMinor  : 政策 或 程序 或 实行事项 部分持有
[提供的基本文档和记录]
• 就如何秘密举报商业道德问题向工人和外部利益相关者提供的信息
• 有关举报的政策/流程
• 针对举报的秘密调查和后续行动的程序
• 针对过去 12 个月的举报的统计
• 向工人/员工清晰传达杜绝打击报复的政策。
• 对所有涉嫌打击报复的指控进行调查的程序
• 有关杜绝打击报复的培训资料和培训记录/年度进修培训</v>
          </cell>
        </row>
        <row r="70">
          <cell r="B70" t="str">
            <v>D8) 책임있는 광물조달</v>
          </cell>
          <cell r="C70" t="str">
            <v>분쟁지역광물 사용 금지</v>
          </cell>
          <cell r="D70" t="str">
            <v>ㆍPriority : ① 콩고 민주 공화국 또는 주변 국가에서의 분쟁 광물이 조달되는 경우
             ② 이슈를 해결하는 회사의 문서화된 조치가 없는 경우
ㆍMajor  : ① 명확한 분쟁광물 사용금지 정책 및 분쟁광물과 관리 시스템이 없는 경우
            ② 3TG 공급원의 25% 이상 현장 미실사 및 문서화 자료가 없는 경우
ㆍMinor  : 3TG 공급원의 25% 미만 현장 미실사 및 문서화 자료가 없는 경우
ㆍN/A     : 3TG 광물 미사용</v>
          </cell>
          <cell r="E70" t="str">
            <v>D8) Responsible Sourcing Minerals</v>
          </cell>
          <cell r="F70" t="str">
            <v>Prohibition of using conflict minerals</v>
          </cell>
          <cell r="G70" t="str">
            <v>ㆍPriority : Confirmed purchasing of minerals from conflict sources in the Covered Countries and no documented action taken by auditee to address the issue
ㆍMajor   : No existence of clear Conflict Free Minerals policy and/or Conflict Minerals and management system, more than 25% of 3TG sources do not have a due-diligence
               and documentation in place
ㆍMinor   : Less than 25% of 3TG sources do not have a due-diligence and documentation in place.
ㆍN/A     : No Tin, Tungsten, Tantalum and Gold (3TG) mineral material or containing components.
※ Required Documents and Records
   - Responsible sourcing of minerals policy/procedures
- Risk assessment of sources of materials are either 3TG free or (if procured by the smelter/refiner site) are conflict‐free
- Action plans on information gathering/actions to ensure responsible sourcing of minerals</v>
          </cell>
          <cell r="H70" t="str">
            <v>D8)负责任地矿物采购</v>
          </cell>
          <cell r="I70" t="str">
            <v>禁止使用冲突地区矿产</v>
          </cell>
          <cell r="J70" t="str">
            <v>ㆍPriority : ① 刚果民族共和国 或 周边国家 冲突矿物调达
              ② 無解决问题的公司文件类措施 無
ㆍMajor  :  ① 無禁止明确的 冲突矿物使用 及冲突矿物管理系统
               ② 3TG 供应员25%以上现场未实查及無文件类资料
ㆍMinor  : 3TG 供应员的 25% 未满 现场未实查及無文件类资料
ㆍN/A     :不使用3TG矿物 
[提供的基本文档和记录]
• 负责任的矿物采购政策/程序
• 矿物采购的风险评估不包括 3TG 或（如果是冶炼厂/精炼厂场地采购）无冲突
• 有关信息收集的行动计划/行动以确保负责的矿物采购</v>
          </cell>
        </row>
        <row r="71">
          <cell r="B71" t="str">
            <v>D7) 개인정보</v>
          </cell>
          <cell r="C71" t="str">
            <v>개인정보 보호</v>
          </cell>
          <cell r="D71" t="str">
            <v>ㆍMajor   : 상세하고 이해가능한 정책과 이행 절차가 없는 경우
ㆍMinor   : 정책 또는 절차 또는 이행사항의 일부만 보유하는 경우</v>
          </cell>
          <cell r="E71" t="str">
            <v>D7) Protection of personal information</v>
          </cell>
          <cell r="F71" t="str">
            <v>Protection of personal information</v>
          </cell>
          <cell r="G71" t="str">
            <v>ㆍMajor   : No detailed and understandable policy and procedures implemented
ㆍMinor   : Partial policy or procedures or implementation
※ Required Documents and Records
  - A formal policy and program to protect privacy:
- Training material and training records on privacy protection</v>
          </cell>
          <cell r="H71" t="str">
            <v>D7)个人信息</v>
          </cell>
          <cell r="I71" t="str">
            <v>保护个人信息</v>
          </cell>
          <cell r="J71" t="str">
            <v xml:space="preserve">ㆍMajor   : 可详细理解的政策实行程序 無
ㆍMinor  : 保留政策，程序或部分实行
[提供的基本文档和记录]
• 有关隐私保护的正式政策和计划：
• 有关隐私保护的培训材料和培训记录
</v>
          </cell>
        </row>
        <row r="72">
          <cell r="B72" t="str">
            <v>E1) 회사 준수의지</v>
          </cell>
          <cell r="C72" t="str">
            <v>경영진 준수의지 표명</v>
          </cell>
          <cell r="D72" t="str">
            <v>ㆍMajor   : ① 2개 이상의 구성요소가 누락되거나 유효하지 않은 경우
              ② 지속 개선 및 법 준수에 대한 표명이 없는 경우
              ③ 근로자의 20% 이상이 조항 또는 그 내용을 모르는 경우
ㆍMinor   : ① 고위 경영진의 승인이 없는 경우
              ② 최소 요구사항 중 1개 구성요소 누락 또는 유효하지 않은 경우, 시스템 요소가 적절하게 문서화 되지 않았거나 금지된 경우
              ③ 근로자의 20% 이하가 조항 또는 그 내용을 모르는 경우
[ 최소 요구사항]
1. 현장 확인 :  근로자가 이해할 수 있는 언어로 작성된 기업의 사회적, 환경적 책임 정책을 모든 근로자에게 제공
2. 기록 검토
   1) 법적 규제 준수와 지속 개선이 표명된 고위층 관리자의 서명/승인된 성명서/조항
   2) 작업장 운영의 특성과 범위에 맞는 정책</v>
          </cell>
          <cell r="E72" t="str">
            <v>E1) Company Commitment</v>
          </cell>
          <cell r="F72" t="str">
            <v>Policies/codes endorsed by executive management</v>
          </cell>
          <cell r="G72" t="str">
            <v>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[Minimum requirement]
1. Site observation : Corporate social and environmental responsibility policy statements in a language understood by each worker is visible to all workers
2. Record review
  1) Statement/Code signed/endorsed by the highest-level manager at the facility or company with a stated commitment to regulatory compliance and other
      requirements and commitment to continuous improvement
  2) The policy statement is appropriate for the nature and scope of the facility’s operations
※ Required Documents and Records
   - Labor, Employment, Ethics, Health &amp; Safety and Environment Policy                   - Corporate Social Responsibility Policy
- Company/facility’s Business Ethics or Code of Business Conduct policy or manual</v>
          </cell>
          <cell r="H72" t="str">
            <v>E1)公司遵守承诺</v>
          </cell>
          <cell r="I72" t="str">
            <v>表明经营管理层遵守承若</v>
          </cell>
          <cell r="J72" t="str">
            <v>ㆍMajor   : ① 2个以上的 构成因素 遗漏 或 不维护
               ② 持续改善 及 法定 遵守 未表明
               ③ 员工 20% 以上不知相关政策及条款内容时
ㆍMinor   : ① 未经高级管理层批准时
               ② 基本要求事项中一个构成要素遗漏或无效时，系统要素未适当文书化或被禁止时
               ③ 5~20%员工不知相关政策或其内容时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劳工、雇佣、道德、健康与安全和环境的政策
• 企业社会责任政策
• 有关公司/工厂的商业道德或商业行为准则的政策或手册</v>
          </cell>
        </row>
        <row r="73">
          <cell r="B73" t="str">
            <v>E2) 경영진 책임</v>
          </cell>
          <cell r="C73" t="str">
            <v>전임직원 책임/권한 부여</v>
          </cell>
          <cell r="D73" t="str">
            <v>ㆍMajor   : ① 최소 요구사항 중 2개 이상의 구성요소가 누락되거나 유효하지 않은 경우
              ② 구성요소의 경영시스템을 구현하게 될 권한 받은 경영 대표자 확인이 안 되는 경우
ㆍMinor   : 최소 요구사항 중 1개 구성요소 누락 또는 유효하지 않은 경우, 시스템 요소가 적절하게 문서화되지 않았거나 금지된 경우
[ 최소 요구사항]
1. 기록 검토
  1) 고위 대표자
        a) 법규와 RBA 요구사항 준수를 보장하는 책임 및 프로그램/절차/시정조치를 이행하는 권한 보유
   2) 지정
        a) 각 조직 차원의 책임과 권한은 직위 계획, 직무 기술서 및/또는 시설의 관리 시스템 문서에 기록
            i) 정상적인 상황의 경우   ii) 응급 상황의 경우</v>
          </cell>
          <cell r="E73" t="str">
            <v>E2) Management Accountability and Responsibility</v>
          </cell>
          <cell r="F73" t="str">
            <v>Assigning responsibilities and authorities for all workers(Senior manager to workers)</v>
          </cell>
          <cell r="G73" t="str">
            <v>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[Minimum requirement]
1. Record review
  1) Senior representative
       a) A senior is representative assigned responsibility for implementing programs
          i) To ensure compliance with laws and regulations and the requirements of the RBA
          ii) Is authorized to implement programs, procedures and corrective actions as needed for regulatory compliance and RBA conformance
  2) Assignment
       a) Responsibilities and authority of each organizational level are documented in position plans, job descriptions and/or the facility's management system 
          documentation
          i) For normal situations   ii) For emergency situations
※ Required Documents and Records
   - Organizational chart
- Roles and responsibilities for the management system representative, managers with human resources, ethics, labor, health &amp; safety and environment responsibility
   - Records of management system reviews</v>
          </cell>
          <cell r="H73" t="str">
            <v>E2)管理问责</v>
          </cell>
          <cell r="I73" t="str">
            <v>指定负责人、明确责任及权限</v>
          </cell>
          <cell r="J73" t="str">
            <v>ㆍMajor   : ① 基本要求事项中遗漏2个或以上构成要素或无效时
               ② 未授权的经营代表实现构成要素的经营系统时
ㆍMinor   : 基本要求事项中遗漏一个构成要素或无效时，系统要素未适当文书化或被禁止时
[最低要求]
1. 文件 检讨
    1) 高位 代表者
        a) 保障法规和 RBA 要求事项 遵守的 责任及项目/流程/改善措施 实行权限 保留
    2) 指定
        a)  部门别责任人有权限业务分配，职务分析以及公司管理系统记录文件化管理
            i) 正常情况   ii) 应急状况
[提供的基本文档和记录]
• 组织图
• 管理体系代表及负责人力资源、道德、劳工、健康与安全及环境的经理的角色和责任
• 管理体系审查的记录</v>
          </cell>
        </row>
        <row r="74">
          <cell r="B74" t="str">
            <v>E2) 경영진 책임</v>
          </cell>
          <cell r="C74" t="str">
            <v>경영 검토 및 지속 개선 프로세스</v>
          </cell>
          <cell r="D74" t="str">
            <v>ㆍMajor   : ① 최소 요구사항 중 2개 이상의 구성요소가 누락되거나 유효하지 않은 경우
             ② 고위 경영층 년 1회 평가가 실시되지 않은 경우
ㆍMinor   : 최소 요구사항 중 1개 구성요소 누락 또는 유효하지 않은 경우, 시스템 요소가 적절하게 문서화 되지 않았거나 금지된 경우
[최소 요구사항]
1. 기록 검토
   1) 적절하고 효과적인 연간 경영 시스템 검토 프로세스
   2) 개선검토 회의 후 예방 조치 계획 및 회의자료 확인</v>
          </cell>
          <cell r="E74" t="str">
            <v>E2) Management Accountability and Responsibility</v>
          </cell>
          <cell r="F74" t="str">
            <v>Management review and Continuous improvement process</v>
          </cell>
          <cell r="G74" t="str">
            <v>ㆍMajor   : ① Two or more of minimum requirement elements are missing or ineffective.
               ② Senior management does not assess annually.
ㆍMinor   : One of minimum requirement elements is missing or ineffective, or a system element is not adequately documented or is prohibited.
[Minimum requirement]
1. Record review
  1) Process
       a) Adequate and effective annual management system review process is in place
  2) Records
       a) System review meetings
       b) Preventive corrective action plan following the review
       c) Management review meeting presentation materials/analysis/data
※ Required Documents and Records
   - Organizational chart
- Roles and responsibilities for the management system representative, managers with human resources, ethics, labor, health &amp; safety and environment responsibility
   - Records of management system reviews</v>
          </cell>
          <cell r="H74" t="str">
            <v>E2)管理问责</v>
          </cell>
          <cell r="I74" t="str">
            <v>经营检讨及持续改善流程</v>
          </cell>
          <cell r="J74" t="str">
            <v>ㆍMajor   : ① 最低要求事项中2个以上构成因素遗漏或者无效的情况
               ② 高层经营人员未实施年1回评价
ㆍMinor   : 最低要求事项中1个构成要素遗漏或者无效的情况，系统要素没有适合的资料化或者禁止
[最低要求]
1. 文件 检讨
   1) 需要检讨符合效果性年间经营系统Process
   2) 改善检讨会议后确认预防措施计划及会议资料
[提供的基本文档和记录]
• 组织图
• 管理体系代表及负责人力资源、道德、劳工、健康与安全及环境的经理的角色和责任
• 管理体系审查的记录</v>
          </cell>
        </row>
        <row r="75">
          <cell r="B75" t="str">
            <v>E3) 법률/고객 요구사항</v>
          </cell>
          <cell r="C75" t="str">
            <v>법률/고객 요구사항 준수 프로세스</v>
          </cell>
          <cell r="D75" t="str">
            <v xml:space="preserve">ㆍMajor   : 최소 요구사항 중 2개 이상의 구성요소가 누락되거나 유효하지 않은 경우
ㆍMinor   : 최소 요구사항 중 1개 구성요소 누락 또는 유효하지 않은 경우, 시스템 요소가 적절하게 문서화 되지 않았거나 금지된 경우
[최소 요구사항]
1. 기록 검토
  1) 프로세스
      a) 적절한 법률 및 고객요구 사항에 대한 적절하고 효과적이고 분기별 이행절차 보유 
          i) 식별    ii) 추적    iii) 평가    iv) 통합    v) 이행    vi) 기록
  2) 기록
     a) 최신의 고객요구사항    b) 이메일을 통한 컴플라언스 일정 약속   c) 적용가능한 법율, 규정 및 운영에 영향을 미치는 주요 고객요구 사항
     d) 새로운 요구 사항에 대한 검토 결과의 변경된 운영 / 정책 / 절차    </v>
          </cell>
          <cell r="E75" t="str">
            <v>E3) Legal and Customer Requirements</v>
          </cell>
          <cell r="F75" t="str">
            <v>Compliance process of Legal/Customer Requirements</v>
          </cell>
          <cell r="G75" t="str">
            <v>ㆍMajor   : Two or more of minimum requirement elements are missing or ineffective.
ㆍMinor   : One of minimum requirement elements is missing or ineffective, or a system element is not adequately documented or is prohibited
[Minimum requirement]
1. Record review
  1) Process
       a) Adequate and effective quarterly compliance process to maintain a current understanding of applicable legal and customer requirements:
           i) Identify   ii) Track    iii) Assess     iv) Integrate    v) Implement    vi) Records     
  2) Records  
       a) Accurate and up to date compliance register
       b) A compliance calendar or reminders/tasks/calendar appointments via an e-mail system.
       c) Summaries of applicable laws and regulations and the key customer requirements that impact the operations
       d) New/changed operations/policies/procedures as a result of the review process for new requirements
※ Required Documents and Records
  - Copy of customer requirements (e.g., RBA)
- Tracking system for monitoring of Social and Environmental Responsibility (SER) laws, regulations, and implementation or distribution logs.
- Copy of applicable laws</v>
          </cell>
          <cell r="H75" t="str">
            <v>E3)法律要求/客户要求</v>
          </cell>
          <cell r="I75" t="str">
            <v>法律及客户要求遵守流程</v>
          </cell>
          <cell r="J75" t="str">
            <v xml:space="preserve">ㆍMajor   : 最低要求事项中2个以上要素遗漏或无效
ㆍMinor   : 最低要求事项中1个以上要素遗漏或无效, 系统要素未适当地书面化或被禁止
[最低要求]
1. 文件 检讨
   1) 程序
      a) 对法律及顾客要求事项保有着符合及效果性的季度别实行
          i) 识别    ii) 追踪    iii) 评价    iv) 统合    v) 履行    vi) 记录
    2) 记录
      a) 最新顾客要求事项    b) 通过邮件约定 Compliance日程   c) 对可以适用的法律，规定及运营有影响的主要顾客要求事项
      d) 对新要求事项的研讨结果及变更的运营/政策/步骤 
[提供的基本文档和记录]
• 客户要求（例如，EICC）的副本
• 跟踪体系以监控有关设备和环境责任 (SER)的法规及执行或分发日志。
• 适用法律的副本
</v>
          </cell>
        </row>
        <row r="76">
          <cell r="B76" t="str">
            <v>E4) 리스크 평가/관리</v>
          </cell>
          <cell r="C76" t="str">
            <v>리스크 평가/관리</v>
          </cell>
          <cell r="D76" t="str">
            <v>ㆍPriority : 위험성 평가가 미실시된 시설, 생명, 지역 사회에 심각한 영향이 확인된 경우
ㆍMajor  :  ① 최소 요구사항 중 2개 이상의 구성요소가 누락되거나 유효하지 않은 경우
              ② 운영 범위/특성에 대한 Risk Process가 없고 적절한 통제가 되지 않는 경우 
ㆍMinor  :  ① 최소 요구사항 중 1개 구성요소 누락 또는 유효하지 않은 경우, 시스템 요소가 적절하게 문서화 되지 않았거나 금지된 경우
              ② 운영 범위/특성에 대한 Risk Process가 적합하고 위험성 평가가 이행 되었으나 적절한 통제가 되지 않는 경우
              ③ 여러 화학 물질 노출에 대한 고려가 되지 않은 경우
[최소 요구사항]
1. 현장 확인 : 확인된 위험에 대한 관리 수단 보유
2. 기록 검토 
   1) 절차
      a) 위험성 평가절차  보유(적용 가능한 법적 요구 사항 및 해당 고객 요구 사항 포함)          b) 유의한 변화가 있을 때 위험평가를 갱신
      c) 위험 요소에 대해 통제 및 개선 목표를 최소화 하기 위한 실천계획 보유                       d) 위험성은 정기적으로 평가 실시(년1회 이상)
   2) 기록
     a) 공식적인 위험 평가서     b) 위험 요소에 대한 시정/예방 조치 계획 
     c) 모든 내용의 문서화        d) 미개선 내용에 대해 개선계획 수립</v>
          </cell>
          <cell r="E76" t="str">
            <v>E4) Risk Assessment and Risk Management</v>
          </cell>
          <cell r="F76" t="str">
            <v xml:space="preserve">Risk Assessment and Risk Management </v>
          </cell>
          <cell r="G76" t="str">
            <v>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③ No consideration of multiple chemical exposures.
[Minimum requirement]
1. Record review
  1) Process
        a) Adequate and effective risk assessment process using the hierarchy of controls or equivalent process is in place to identify the most significant risks 
           (including applicable legal requirements and applicable customer requirements).
        b) The risk assessment is updated when there is a Significant Change
        c) Any identified risk has an action plan to minimize such risk and procedural controls and/or improvement objective.
        d) Effectiveness of controls is evaluated on a regular basis
  2) Records
        a) Formal risk assessment reports
        b) Corrective/preventive action plan for identified risks
        c) Procedural controls are documented
        d) Where controls are not yet in place an implementation plan (with owners and due date) is in place and on track
※ Required Documents and Records
  - Procedure to identify, evaluate and rank SER risks
- Listing of identified SER risks for the facility and risk assessment review records
- Action plans addressing highest identified SER risks</v>
          </cell>
          <cell r="H76" t="str">
            <v>E4)风险评估/管理</v>
          </cell>
          <cell r="I76" t="str">
            <v>风险评估/管理</v>
          </cell>
          <cell r="J76" t="str">
            <v>ㆍPriority : 有风险评估的设施，生命，在当地社会受到严重影响的情况下
ㆍMajor  : ① 至少有两个以上的组件如果没有遗漏或有效的情况
              ② 运营范围/特性上没有Risk Process如果不是适当的控制
ㆍMinor  : ① 最低要求事项中有一个组件的遗漏或如果不有效的话，系统要素就会适当地如果不是文件或被禁止的话
              ② 运营范围/特性的Risk Process 虽然很适合，危险性评价已经履行了，如果不是适当的控制
              ③ 未考虑到各种化学物质的暴露
[最低要求]
1. 现场 确认 : 对确认的危险进行管理手段的确认
2. 检讨 记录
  1) 步骤
    a) 保留危险评价步骤 (包含可适用的法定要求和客户要求)          b) 有变化时更新危险评价内容
      c) 保留危险因素管控及改善目标 最小化的实践计划                       d) 定期进行危险评价 (每年1次以上)
    2) 记录
     a) 正式的危险评价报告     b) 对危险因素纠正/预防措施计划
     c)  所有内容文件化             d) 对为改善内容构建改善计划
[提供的基本文档和记录]
• 识别和评估 SER 风险及对其排名的程序
• 列出工厂存在的已识别 SER 风险和风险评估审查记录
• 为最高已识别 SER 风险制定的行动计划</v>
          </cell>
        </row>
        <row r="77">
          <cell r="B77" t="str">
            <v>E5) 개선목표</v>
          </cell>
          <cell r="C77" t="str">
            <v>성과 관리 프로세스</v>
          </cell>
          <cell r="D77" t="str">
            <v>ㆍMajor   : ① 최소 요구사항 중 2개 이상의 구성요소가 누락되거나 유효하지 않은 경우
              ② 대상이 선정되지 않은 경우 
              ③ 진행상황이 검토되지 않은 경우
ㆍMinor  : ① 최소 요구사항 중 1개 구성요소 누락 또는 유효하지 않은 경우, 시스템 요소가 적절하게 문서화 되지 않았거나 금지된 경우
            ② 대상은 선정하였으나 진행상황이 검토되지 않은 경우
            ③ 시정조치가 이행되지 않은 경우
[최소 요구사항]
1. 기록 확인
   1) 프로세스
       a) 공식 및 전달 된 지표, 목표 및 목표 내에서 적절하고 효과적인 년간 성과 관리
       b) 개선 목표에 대한 조치 계획 보유
    2) 기록
      a ) 정식 목표, 지표 및 목표 추적     b) 이행 계획      c) 정기적인 진행보고</v>
          </cell>
          <cell r="E77" t="str">
            <v>E5) Improvement Objectives</v>
          </cell>
          <cell r="F77" t="str">
            <v xml:space="preserve">Performance management process
</v>
          </cell>
          <cell r="G77" t="str">
            <v>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[Minimum requirement]
1. Record review
    1) Process
       a) Adequate and effective annual performance management process within formal and communicated indicators, objectives and targets 
       b) Additional action plans if indicator, objective or target is off track
    2) Records
       a) Formal target, indicator and objective tracking
       b) Implementation plans
       c) Regular progress reporting
※ Required Documents and Records
   - Current year performance objectives and targets, including results of periodic reviews of the implementation and status of meeting the objectives
   - Current improvement initiatives and progress status</v>
          </cell>
          <cell r="H77" t="str">
            <v>E5)改善目标</v>
          </cell>
          <cell r="I77" t="str">
            <v>设定改善流程</v>
          </cell>
          <cell r="J77" t="str">
            <v xml:space="preserve">ㆍMajor   : ① 至少有两个以上的组件被遗漏如果不有效的话
               ② 如果不被选定的话
               ③ 如果没有讨论进展情况
ㆍMinor  :  ① 至少在要求事项中有一个组件的遗漏或非有效，系统要素就会变得适当如果没有或被禁止的话
               ② 虽然选定了对象，但是没有讨论进行情况的情况下，
               ③ 如果不履行纠正措施
[最低要求]
1. 记录 检讨
    1) 流程
    a)公式及传达的指标，目标及目标内适当、有效的年绩效和管理
    b)对改善目标采取措施
    2)记录
    a）正式目标，指标及目标追踪b)履行计划c）定期进行
[提供的基本文档和记录]
• 当年的阶段性执行目标和总目标，包括定期审查目标的实施情况及是否实现目标的状态
• 当前的改进计划和进展情况
</v>
          </cell>
        </row>
        <row r="78">
          <cell r="B78" t="str">
            <v>E6) 교육</v>
          </cell>
          <cell r="C78" t="str">
            <v>부분별 정책/목표 근로자 교육</v>
          </cell>
          <cell r="D78"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근로자/관리자를 대상으로 적절하고 효과적인 교육 실시:
           i) 신규 입사자 오리엔테이션 계획             ii) 교육 분석결과                         iii) 교육 계획            iv) 교육 자료
           v) 교육 기록                                        vi) 교육 주기                              vii) 교육 효율성 검증
       b) 최소 교육 주제에 대한 교육 진행
   2) 평가
      a) 교육 프로그램은 3년을 초과하지 않는 정기적인 평가 실시, 중요한 변경사항이 있는 경우 더 일찍 진행
   3) 기록
      a) 교육 기록은 교육 유효성 검증 포함   b) 교육 평가 보고서 및 필요한 경우 시정조치 기록      c) 교육 자료</v>
          </cell>
          <cell r="E78" t="str">
            <v>E6) Training</v>
          </cell>
          <cell r="F78" t="str">
            <v>Training process on policies/procedures/job/performance targets</v>
          </cell>
          <cell r="G78"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training to workers/managers:
           i) New employee orientation plan             ii) Training needs analysis             iii) Training plan           iv) Training material
           v) Training records                                vi) Training frequency                  vii) Training efficiency verification
      b) Minimum training topics are covered
   2) Evaluation
      a) The training programs will be evaluated on a regular basis not exceeding 3 years or sooner if there is a Significant Change
   3) Records
      a) Training records include a verification of training effectiveness
      b) Training evaluation reports and corrective action if required
      c) Educational materials
※ Required Documents and Records
   - Description of SER trainings provided                               - Records of SER trainings</v>
          </cell>
          <cell r="H78" t="str">
            <v>E6)培训</v>
          </cell>
          <cell r="I78" t="str">
            <v>制定政策/流程/职务/改善目标等培训流程</v>
          </cell>
          <cell r="J78" t="str">
            <v>ㆍMajor  : ① 至少有两个以上的组件被遗漏如果不有效的话
              ② 在沟通中有2个以上遗漏的情况下（政策，成果，实行，期待）
ㆍMinor  : ① 至少有一个要求或非效率性，如果系统的要素没有适当的文件或被禁止的话
              ② 在沟通中有1个被遗漏的情况下 （政策，成果，实行，期待）
[最低要求]
1. 记录 检讨
    A)劳动,B)安全保健C)环境及D)伦理相关的所有政策/程序/职务相关的侧面及成果目标的所有管理者/劳动者要建立适当有效的教育流程。
  1) 流程
  a)对劳动者/管理者进行适当有效的教育实施：
  I)新入职人员Orientation计划ii)教育分析结果ii i）教育计划 iv)教育资料
  v）教育记录vi)教育周期 vii)教育效率验证
  b)最少教育主题的教育
  2)评价
  a)教育项目实施不超过3年的定期评估，如果有重要的变更事项，则更早进行
  3)记录
  a）教育记录包括教育有效性、验证
  b)教育评价报告及需要的情况下，纠正措施记录
  c)教育资料
[提供的基本文档和记录]
• 描述提供的 SER 培训
• SER 培训记录，...</v>
          </cell>
        </row>
        <row r="79">
          <cell r="B79" t="str">
            <v>E7) 커뮤니케이션</v>
          </cell>
          <cell r="C79" t="str">
            <v>근로자/협력사/고객 커뮤니케이션</v>
          </cell>
          <cell r="D79" t="str">
            <v>ㆍMajor   : ① 최소 요구사항 중 2개 이상의 구성요소가 누락되거나 유효하지 않은 경우
             ② 커뮤니케이션 중 2개 이상이 누락된 경우(정책, 성과, 실행, 기대)
ㆍMinor  : ① 최소 요구 사항 중 하나가 누락되거나 또는 비효율적인 경우, 시스템 요소가 적절히 문서화되지 않았거나 금지된 경우
             ② 커뮤니케이션 중 1개가 누락된 경우(정책, 성과, 실행, 기대)
[최소 요구사항]
1. 기록 검토
  1) 프로세스
       a) 적절하고 효율적인 근로자/관리자, 협력사, 고객사 커뮤니케이션/보고 프로세스 보유
           i) 협력사
              (1) 협력사 경영진 대응    
              (2) 협력사가 RBA 행동규범 및 EHS 법규 요구사항을 준수하도록 요구하는 계약 기간 및 조건
          ii) 고객
              (1) 채용 사례와 실적(자발적 취업 포함, 예&gt; 노동 인구 통계 및 인력 공급업체/파견업체 비율 목록, 근로자 비용(총 절대수 및 계약 기반 당),
                  인력 공급업체/파견업체 수수료).
         iii) 근로자/관리자
              (1) 최소 커뮤니케이션 주제 이상 진행
    2) 평가
       a) 커뮤니케이션 프로그램은 3년을 초과하지 않는 정기적인 평가 실시, 중요한 변경사항이 있는 경우 더 일찍 진행
    3) 기록
       a) 커뮤니케이션 기록에는 유효성 검증 포함   b) 교육 자료      c) 협력사 대상 프리젠테이션</v>
          </cell>
          <cell r="E79" t="str">
            <v>E7) Communication</v>
          </cell>
          <cell r="F79" t="str">
            <v>Worker, supplier and customer communication</v>
          </cell>
          <cell r="G79" t="str">
            <v>ㆍMajor   : Two or more of minimum requirement elements are missing or ineffective.  
               Two or more focus areas are missing in the communications (policy, performance, practice, expectations).
ㆍMinor   : One of minimum requirement elements is missing or ineffective, or a system element is not adequately documented or is prohibited.
               One focus area are missing in the communications (policy, performance, practice, expectations). 
[Minimum requirement]
1. Record review
    1) Process
       a) Adequate and effective worker/manager, Supplier and customer communication/reporting process to Suppliers is in place
           i) Suppliers  
              (1) Correspondence to Supplier management    
              (2) Contract terms and conditions requiring Suppliers to conform to the RBA code and comply with all applicable CA
          ii) Customers
              (1) Recruitment practices and performance (including freely chosen employment, e.g. Demographics of labor and list of labor agents/ contractors with 
                   percentage of workforce, costs to workers (in total absolute numbers and per contract base) and labor agent/contractor fees).
         iii) Workers / Managers
              (1) The minimum communication topics are covered
    2) Evaluation
       a) The communication programs will be evaluated on a regular basis not exceeding 3 years or sooner if there is a Significant Change
    3) Records
       a) Communications records include a verification of communication effectiveness
       b) Educational materials
       c) Presentations to Suppliers
※ Required Documents and Records
   - Factory SER rules (for example, Employee Handbook)
- Process for communicating company SER performance and expectations to workers, suppliers and customers
- Bulletin boards, newsletters, intranet sites for communication with workers and managers</v>
          </cell>
          <cell r="H79" t="str">
            <v>E7)沟通</v>
          </cell>
          <cell r="I79" t="str">
            <v>员工/供应商/客户沟通</v>
          </cell>
          <cell r="J79" t="str">
            <v>ㆍMajor   : ① 至少有两个以上的组件被遗漏如果不有效的话
               ② 在沟通中有2个以上遗漏的情况下 （政策，成果，实行，期待）
ㆍMinor   : ① 至少有一个要求或非效率性，如果系统的要素没有适当的文件或被禁止的话
               ② 在沟通中有1个被遗漏的情况下（政策，成果，实行，期待）
[最低要求]
1. 检查记录
  1) 进程
      a) 适当、有效的劳动者/管理者，合作公司，客户公司，交流/，处理器拥有
         i)合作公司
            (1)合作公司经营班子应对      (2)合作公司要求遵守RBA行动规范及EHS法规要求事项的合同期间及条件
        ii)顾客
           (1) 招聘事例和业绩（包括自愿就业）、&gt;劳动人口统计及人力供应企业/派遣企业比率目录，劳动者费用（总绝对数量及合同基础党）
               人力供应企业/派遣企业手续费。
        iii)劳动者/管理者
           (1)至少进行交流主题以上
 2)评价
      a)交流节目实施不超过3年的定期评估，如果有重要的变更事项，则更早进行
 3)记录
      a)交流记录包含有效验证
      b)教育资料
       c)合作公司的发表演讲
[提供的基本文档和记录]
• 工厂 SER 规则（例如，员工手册）
• 向工人、供应商和客户传达公司 SER 的执行和期望值的流程
• 向工人和经理传达的公告栏、新闻稿、内网站点</v>
          </cell>
        </row>
        <row r="80">
          <cell r="B80" t="str">
            <v>E8) 근로자 피드백/참여</v>
          </cell>
          <cell r="C80" t="str">
            <v>근로자 고충/불만 프로세스</v>
          </cell>
          <cell r="D80" t="str">
            <v>ㆍPriority : 확인된 사례를 조사하지 않거나 시정 조치 계획을 이행하지 않은 경우
ㆍMajor   : ① 최소 요구사항 중 2개 이상의 구성요소가 누락되거나 유효하지 않은 경우
              ② 익명의 보고 채널이 없는 경우
              ③ 3개월 동안 고충/불만 사항이 조치되거나 기록되지 않은 경우
ㆍMinor   : ① 최소 요구사항 중 2개 이상의 구성요소가 누락되거나 유효하지 않은 경우
              ② 시스템 요소가 적절하게 문서화 되지 않은 경우
[최소 요구사항]
1. 현장 확인 
   1) 명확한 고충처리 및 불만제기 채널
   2) 근로자의 언어로 구성되고 시각적으로 확인 가능한 내부 고충처리 커뮤니케이션(고충처리 박스, 핫라인, 핫메일, 3자 라인 등)
2. 기록 검토
   1) 프로세스
       a) 보복의 위협 없이 무기명으로 고충과 불만을 보고하는 적절하고 효과적인 프로세스
       b) 고충처리 메커니즘 보유 : 내부(근로자), 외부(협력사 근로자, 지역 사회 또는 이해 관계자/내부 고발자)
       c) 누구에게나 고충처리 보고가 장려되는 명확한 고충처리 채널
   2) 조사 및 활동
       a) 피감사인은 고충 처리 및 불만 제기 요청에 대한 유효성을 신속히 조사하고 타당한 경우 즉각적인 시정조치를 해야함
       b) 고충과 불만을 제기하는 모든 사람은 신원을 보호해야하며 피감사인은 보복 금지를 보장해야 함
   3) 기록
       a) 고충과 불만처리 기록은 최소 12개월 보관
       b) 고충과 불만처리 보고 방법에 대한 근로자 서면 정보 제공</v>
          </cell>
          <cell r="E80" t="str">
            <v>E8) Worker Feedback and Participation</v>
          </cell>
          <cell r="F80" t="str">
            <v>Worker grievance/complaint process</v>
          </cell>
          <cell r="G80" t="str">
            <v>ㆍPriority  : Confirmed case not investigated or without corrective action plan
ㆍMajor   : ① Two or more of minimum requirement elements are missing or ineffective
               ② No anonymous reporting channels
               ③ No action has been taken/recorded for the grievance/complaint for 3 months
ㆍMinor   : One of minimum requirement elements is missing or ineffective, or a system element is not adequately documented or is prohibited.
[Minimum requirement]
1. Site observation
    1) Grievance and complaint channels are clearly communicated
    2) Internal communication of the grievance mechanism must be in workers’ native language(s) and visible
2. Record review
    1) Process
       a) Adequate and effective process to anonymously report grievances and complaints without fear of reprisal.
       b) The grievance mechanism is internal (for workers and staff) and external (for workers of suppliers, local community or interested actors AND Whistleblowers)
       c) Clear grievance channels so anyone is comfortable reporting grievances and so that reporting is encouraged
    2) Investigation and actions
       a) Auditee shall promptly investigate the validity of the any grievance or complaint and take prompt remedial action if the claim is valid
       b) All who file a grievance or complaint shall have their identity protected and Auditee will ensure a no reprisal or intimation approach
    3) Records:
       a) Grievance/complaint records are in place for a period of at least 12 months
       b) Workers are provided with written information on how to report grievances and complaints
※ Required Documents and Records
   - Worker survey/complaint forms
- Description of formal ways for workers to participate in program development and implementation (for example, committees, task forces, ....)
- Worker surveys, complaints, and feedback provided by management</v>
          </cell>
          <cell r="H80" t="str">
            <v xml:space="preserve">E8)员工反馈/参与
</v>
          </cell>
          <cell r="I80" t="str">
            <v>制定有效的申诉投诉流程</v>
          </cell>
          <cell r="J80" t="str">
            <v>ㆍPriority : 未对确认的案例展开调查或未采取纠正行动计划
ㆍMajor   : ① 最少要求事项中有两个以上的组件被遗漏或未有效的情况下
               ② 如果没有匿名的电视频道在3.3个月里，如果不能采取高虫/不满事项或记录的话
ㆍMinor   : ① 至少有两个以上的组件被遗漏或非有效
               ② 系统的要素未文件化
[最低要求]
1. 现场确认
  1) 明确的苦衷处理及不满的渠道
  2) 以劳动者的语言构成，可以在视觉上确认的内部苦衷处理通讯（苦衷处理箱子，热线，Hotmail，它产线等）
2. 检查记录
  1)进程
     a) 没有报复的威胁，用武器来报告苦衷和不满的适当、有效的过程
     b) 苦衷处理机制：内部（劳动者），外部（合作公司劳动者，地区社会或利害关系者/内部告告者）
     c) 对每个人都有奖励处理报告的明确的苦衷处理渠道
  2)调查及活动
     a) 嫌疑人迅速调查了对高虫处理及不满的有效性，如果被妥善处理，应立即采取纠正措施
     b) 提出苦衷和不满的每个人都要保护身份，监察人应保障防止报复。
  3)记录
     a) 苦衷和不满处理记录至少要保管12个月
     b) 提供苦衷和不满处理方法的劳动者书面信息提供
[提供的基本文档和记录]
• 工人调查/投诉表
• 对工人参与计划制定和实施的正式方式（例如，委员会、负责小组，....）进行了描述
• 管理层提供的工人调查、投诉和反馈</v>
          </cell>
        </row>
        <row r="81">
          <cell r="B81" t="str">
            <v>E8) 근로자 피드백/참여</v>
          </cell>
          <cell r="C81" t="str">
            <v>근로자 협의/참여 프로세스</v>
          </cell>
          <cell r="D81" t="str">
            <v>ㆍMajor   : 피드백 입수 절차가 없는 경우
ㆍMinor   : 최소 요구사항 중 1개 구성요소 누락 또는 유효하지 않은 경우, 시스템 요소가 적절하게 문서화 되지 않았거나 금지된 경우
[최소 요구사항]
1. 현장 확인
   1) 피드백 채널이 명확하게 전달되고 시각적 으로도 확인 가능해야 함(제안함, ...)
2. 기록 검토
   1) 프로세스
        a) 근로자 입력 및 피드백을 얻기 위한 적절하로 효과적인 프로세스 보유
             i) 근로자 대상 설문조사                                 ii) 제안함                                    iii) 특정 근로자 그룹
            iv) 공동 근로자-관리자 위원회                          v) 근로자/노조 대표                      vi) 프로세스 개선팀
   2) 평가 및 활동
        a) 피감사인은 피드백의 모든 입력의 유효성을 즉시 평가하고 입력/피드백이 유효하면 즉각적인 조치를 취해야 함
   3) 기록
        a) 최소 12개월 기간의 입력/피드백 기록 보유
        b) 입력/피드백 개선방법에 대한 정보를 근로자에게 서면으로 제공
        c) 조치 계획이 유효, 이행 또는 추적 가능해야 함</v>
          </cell>
          <cell r="E81" t="str">
            <v>E8) Worker Feedback and Participation</v>
          </cell>
          <cell r="F81" t="str">
            <v>Worker consultation/participation process</v>
          </cell>
          <cell r="G81" t="str">
            <v>ㆍMajor   : No feedback mechanism(s) in place.
ㆍMinor   : One of minimum requirement elements is missing or ineffective, or a system element is not adequately documented or is prohibited.
[Minimum requirement]
1. Site observation
      1) Feedback channels are clearly communicated and visible (suggestion box, ...)
2. Record review
     1) Process
        a) Adequate and effective process to obtain worker input and feedback such as:
             i) Worker surveys                                         ii) Suggestions boxes                                    iii) Worker focus groups
            iv) Joint worker-management committees          v) Worker/union representatives                      vi) Process improvement teams.
    2) Evaluation and actions
        a) Auditee shall promptly evaluate the validity of the any input of feedback and take prompt action if the input/feedback is valid
    3) Records:
        a) Input/feedback records are in place for a period of at least 12 months
        b) Workers are provided with written information on how to provide input/feedback for improvement
        c) Action plans are available, implemented or on track.
※ Required Documents and Records
   - Worker survey/complaint forms
- Description of formal ways for workers to participate in program development and implementation (for example, committees, task forces, ....)
- Worker surveys, complaints, and feedback provided by management</v>
          </cell>
          <cell r="H81" t="str">
            <v xml:space="preserve">E8)员工反馈/参与
</v>
          </cell>
          <cell r="I81" t="str">
            <v>制定有效的协商/参与流程</v>
          </cell>
          <cell r="J81" t="str">
            <v>ㆍMajor   : 无获取反馈的程序时
ㆍMinor   : ① 最低要求事项中1个构成要素遗漏或无效时
               ② 系统要素未适当文书化或被禁止时 
[最低要求]
1. 现场 确认
    1) 反馈渠道明确传达，也可以通过视觉确认（意见箱，…）
2. 记录 检讨
    1) 程序
        a) 保留一种有效的处理方法以便得到工人输入及反馈的适当的处理
             i) 员工对象问卷调查                                      ii) 意见箱                                    iii) 特定员工群
            iv) 共同（员工-管理者）委员会                         v) 员工/劳工代表                          vi) 程序改善组
    2) 评价及活动
        a） 被监察人立即评估反馈的所有输入的有效性，输入/反馈有效的话应立即采取措施
    3) 记录
        a) 保留至少过去12个月时间的输入/反馈记录
        b) 输入/反馈的改善方法书面提供给员工
        c) 履行或跟踪措施计划是否有效
[提供的基本文档和记录]
• 工人调查/投诉表
• 对工人参与计划制定和实施的正式方式（例如，委员会、负责小组，....）进行了描述
• 管理层提供的工人调查、投诉和反馈</v>
          </cell>
        </row>
        <row r="82">
          <cell r="B82" t="str">
            <v>E9) 감사/평가</v>
          </cell>
          <cell r="C82" t="str">
            <v>자가 심사 프로세스</v>
          </cell>
          <cell r="D82" t="str">
            <v>ㆍMajor   : ① 자가 심사 미실시
             ② 2개 이상의 구성요소 누락 또는 비효율적인 경우
             ③ 심사 범위에 규정 준수가 포함되지 않은 경우 
ㆍMinor   : ① 최소 요구사항 중 1개 구성요소 누락 또는 유효하지 않은 경우
              ② 시스템 요소가 적절하게 문서화 되지 않았거나 금지된 경우
              ③ 심사 범위에 규정 준수가 포함되나 고객 요구사항은 포함하지 않은 경우
[최소 요구사항]
1. 기록 검토
  1) 프로세스
        a) 정기적으로 적합성을 평가할 수있는 적절하고 효과적인 자가 심사 프로세스 보유
            i) 법률적 요구사항                                                        ii) RBA 행동규범 요구사항
          iii) 자체 정책, 표준 및 경영시스템                                     iv) 공장시설에 확인이 필요한 기타 요구사항
        b) 고위 경영진이 점검결과 검토
   2) 기록
        a) 자가 심사 보고서
        b) 자가 심사의 결과로서 시정조치 계획, 시정조치 계획이 벗어난 경우 추가 조치</v>
          </cell>
          <cell r="E82" t="str">
            <v>E9) Audits and Assessments</v>
          </cell>
          <cell r="F82" t="str">
            <v>Self-audit process</v>
          </cell>
          <cell r="G82" t="str">
            <v>ㆍMajor   : ① No Audits carried out.
               ② Two or more components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[Minimum requirement]
1. Record review
    1) Process
        a) Adequate and effective self-audit process to periodically assess conformance with:
            i) Applicable regulatory requirements                                                        ii) RBA Code requirements    
          iii) Own policies, standards and management system                                     iv) Other requirements to which the facility subscribes
        b) Audit findings are reviewed by senior management.
    2) Records
        a) Self-audit Reports
        b) Corrective Action Plans a s a result of the Self Audit, additional actions if the Corrective Action Plan is off-track
※ Required Documents and Records
   - Audit process and procedure                                         - Copies of SER Audits carried out in last 24 months</v>
          </cell>
          <cell r="H82" t="str">
            <v>E9)检查/评估</v>
          </cell>
          <cell r="I82" t="str">
            <v>具备内部审计流程</v>
          </cell>
          <cell r="J82" t="str">
            <v>ㆍMajor   : ① 自我审查未实施
               ② 2个以上构成要素遗漏或非效率时
               ③ 自我评价的范围未包含法律要求事项时 
ㆍMinor   : ① 基本要求事项中1个构成要素遗漏或无效时
               ② 系统要素未适当文书化或被禁止时，
               ③ 自我评价的范围包含法律要求事项，但未包含客户要求事项时 
[最低要求]
1. 程序 检讨
    1) 程序
        a) 定期对其合理性进行评价的确实有效的自我审查程序
            i) 法律要求事项                                                          ii) RBA 行动规范要求事项
          iii) 自订政策，标准及经营流程                                         iv) 工厂设施需要确认的其他要求事项.
        b) 领导层检讨检查结果
    2) 记录
        a) 自我审查报告书
        b) 根据自我审查结果制定纠正措施计划，措施计划不恰当时进行追加措施
[提供的基本文档和记录]
• 处罚流程和程序
• 在最近 24 个月执行的 SER 审计的副本</v>
          </cell>
        </row>
        <row r="83">
          <cell r="B83" t="str">
            <v>E10) 시정조치 프로세스</v>
          </cell>
          <cell r="C83" t="str">
            <v>시정조치 프로세스</v>
          </cell>
          <cell r="D83" t="str">
            <v>ㆍMajor : ① 2개 이상의 구성요소 누락 또는 비효율적인 경우
            ② 1개 이상의 해결되지 않은 규제 조치 또는 페널티가 발견되는 경우
ㆍMinor : ① 최소 요구사항 중 1개 구성요소 누락 또는 유효하지 않은 경우
            ② 시스템 요소가 적절하게 문서화 되지 않았거나 금지된 경우
            ③ 규제 조치 또는 패널티가 해결 되었으나 개선에 대한 기록이 없고 시정조치도 진행되지않은 경우
ㆍN/A   : ① 점검 또는 평가를 실시하지 않은 경우
            ② 최근 3년간 시정명령이나 개선 명령이 없었던 경우
[최소 요구사항]
1. 기록 검토
  1) 프로세스
       a) 다음을 포함하는 적절하고 효과적인 교정 조치 프로세스를 시행해야 함:
           i) 시정 조치 보고/계획 및 추적 표(테이블)                                ii) 시정 조치가 추진 계획을 벗어난 경우에 추가 조치 이행
          iii) 시정조치 계획과 성과 관리 목표 및 목표 사이의 입증된 연관성
           iv) 적절한 담당자가 검증한 후 경영진에 의해 조치 항목 최종 확정
  2) 기록
       a) 위반사항 문서화 기록
       b) 각 위반사항에 대한 시정조치계획
       c) 시정조치계획에 대한 진행 보고서
       d) 검증완료 보고서(경영진 확정)
       e) 정부기관으로부터 시정 명령이나 처벌 사항(최근 3년간) 기록</v>
          </cell>
          <cell r="E83" t="str">
            <v>E10) Corrective Action Process</v>
          </cell>
          <cell r="F83" t="str">
            <v>Corrective action process</v>
          </cell>
          <cell r="G83" t="str">
            <v>ㆍMajor  : ① Two or more components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ㆍN/A    :  ① No Audit or evaluation performed,  
              ② Auditee has NOT been subject to any labor regulatory actions in the past 3 years. 3 data points are required to show there was no case in the past 3 years.
[Minimum requirement]
1. Record review
    1) Process
       a) adequate and effective corrective actions process is in place which contains the following:
           i) Corrective action reports/plans and tracking tables                             ii) additional actions are taken when a corrective action is off track
          iii) A demonstrated link between the CAP and the performance management objectives and targets.
           iv) Closure of action items is confirmed by a management representative after verification by the appropriate person
    2) Records
       a) Records documenting the non-conformance
       b) Corrective action plan for each non-conformance
       c) Progress reports on the Corrective Action plan
       d) Closure verification reports (with mgmt. confirmation)
       e) Copies of any regulatory citations/violation notices received in the past three years, including any communications with the agencies are available for review.
※ Required Documents and Records
   - Corrective Action management procedure
- Copies of corrective action plans of SER Audits carried out in last 24 months and current status against these corrective action plans
- Records of Nonconformance tracking, closure, status and management reviews
- Legal compliance records of citations, penalties for violations of labor / ethics laws and regulations
- Legal compliance records of EHS citations or penalties received in the past 3 years</v>
          </cell>
          <cell r="H83" t="str">
            <v>E10)纠正流程</v>
          </cell>
          <cell r="I83" t="str">
            <v>纠正措施体系</v>
          </cell>
          <cell r="J83" t="str">
            <v>ㆍMajor : ① 2个以上的构成要素遗漏或非效率时
             ② 不能满足限制条件时
ㆍMinor : ① 基本要求事项中1个构成要素遗漏或无效时
             ② 系统要素未适当文书化或被禁止时
             ③ 满足限制条件，但不满足课题要求事项时
ㆍN/A   :  ① 未进行点检或评价时
             ② 在最近3年里没有纠正命令或改善命令时
[最低要求]
1. 记录 检讨
    1) 流程
       a) 应施行包括以下内容的适当有效的纠正措施处理程序：
          i) 纠正措施报告/计划及跟踪表                        ii) 纠正措施脱离计划时，应追加其他可行措施
          iii) 纠正措施计划与绩效管理目标及目标之间的证明.
           iv) 适当的负责人验证后，由管理层确定采取措施项目
    2) 记录
       a) 违反事项文字化记录
       b) 对违反事项的纠正措施
       c) 对纠正措施计划的进行报告书
       d) 验证完成报告书（领导层确定）
       e) 政府机关下达指示或处罚事项（近3年）
[提供的基本文档和记录]
• 纠正行动管理流程
• 在最近 24 个月执行的 SER 审计纠正行动计划的副本及这些纠正行动计划的当前状态
• 不符事项跟踪、结束、状态和管理层审查的记录
• 守法记录，针对因违反劳工/道德法规而导致的传唤、处罚
• 守法记录，针对过去 3 年收到的 EHS 传唤或处罚</v>
          </cell>
        </row>
        <row r="84">
          <cell r="B84" t="str">
            <v>E11) 문서화/기록</v>
          </cell>
          <cell r="C84" t="str">
            <v>문서/기록 작성 및 보관</v>
          </cell>
          <cell r="D84" t="str">
            <v>ㆍMajor   : ① 2개 이상의 구성요소 누락 또는 비효율적인 경우
              ② 규제 조건을 만족하지 못할 경우
ㆍMinor   : ① 개 구성요소 누락 또는 유효하지 않은 경우
              ② 시스템 요소가 적절하게 문서화 되지 않았거나 금지된 경우
              ③ 규제 조건을 만족하지만 고객 요구사항은 만족하지 못할 경우
[최소 요구사항]
1. 현장 확인 : 접근이 제한된 곳에 안전하게 문서 보관
2. 기록 검토
   1)     1) 프로세스
       a) 적절한 유지(사이트 안팎에서)와 액세스 수준의 적절하고 효과적인 문서화 및 기록 프로세스는 개인 정보를 보장
           i) 규제 조건 (기록 보유 법 포함)
   2) 기록
       a) 보존된 문서와 기록의 목록/테이블 검토
       b) 기록 보존은 요구 사항 준수 
       c) 문서화 기록해야 할 최소 사항 확인 가능</v>
          </cell>
          <cell r="E84" t="str">
            <v>E11) Documentation and Records</v>
          </cell>
          <cell r="F84" t="str">
            <v>Creation and maintenance of documents/records</v>
          </cell>
          <cell r="G84" t="str">
            <v>ㆍMajor   : ① Two or more components are missing or ineffective.
               ② Does not meet regulatory requirements.
ㆍMinor   : ① One of minimum requirement elements is missing or ineffective, or a system element is not adequately documented or is prohibited. 
               ② Meets regulatory requirement but not customer requirements.
[Minimum requirement]
1. Site observation : Documents are securely stored with authorized access only
2. Record review
    1) Process
       a) Adequate and effective documentation and records process with appropriate retention (on and off site) and appropriate levels of access to ensure privacy 
          conforming to
           i) Regulatory (including record retention laws)
    2) Records
       a) A listing/table of documents and records retained required is available for review
       b) Record retention is conform the requirements
       c) Minimum records are available for review
※ Required Documents and Records
   - Records retention policy and procedures</v>
          </cell>
          <cell r="H84" t="str">
            <v>E11)文件和记录</v>
          </cell>
          <cell r="I84" t="str">
            <v>文件/记录制定和保管</v>
          </cell>
          <cell r="J84" t="str">
            <v>ㆍMajor   :  ① 2个以上的构成要素遗漏或非效率时， 
                ② 不能满足限制条件时
ㆍMinor   :  ① 基本要求事项中1个构成要素遗漏或无效时
                ② 系统要素未适当文书化或被禁止时
                ③ 满足限制条件，但不满足课题要求事项时
[最低要求]
1. 现场 确认 
    1) 在受限制的地方安全地保管文件
2. 记录 确认
    1) 程序
       a) 适当的维持（网站内外）和访问水平的适当、有效的文件和记录程序是保障个人信息的
           i) 限制条件（包括记录保管方法）
    2) 记录
       a) 确认保存的文件和记录的目录/表格
       b) 遵守记录保存的相关要求
       c) 可以确认文件记录的基本事项
[提供的基本文档和记录]
• 记录保留政策和程序</v>
          </cell>
        </row>
        <row r="85">
          <cell r="B85" t="str">
            <v>E12) 협력회사 책임</v>
          </cell>
          <cell r="C85" t="str">
            <v>삼성 협력사 행동규범 협력사 공유</v>
          </cell>
          <cell r="D85" t="str">
            <v>ㆍMajor : ① 협력사 이행 절차가 확립되어 있지 않고 주요 협력사와의 커뮤니케이션 수단이 문서화 되어 있지 않은 경우.
            ② 인력 파견업체/계약업체를 통해 채용된 근로자 중 20%이상이 자신의 고용 조건이 행동 규범의 관련 노동 요구사항을 충족하는지 진술 불가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협력사 이행 절차가 존재하지만 주요 협력사의 20% 이상 협력사에 행동규범이 공유가 안된 경우
            ② 인력 파견업체/계약업체를 통해 채용된 근로자 중 5~20%가 자신의 고용 조건이 행동 규범의 관련 노동 요구사항을 충족하는지 진술 불가
ㆍN/A   : 주요 협력사가 없는 경우
[최소 요구사항]
1. 기록 검토
   1) 1) 프로세스
       a) 협력사
           i) 협력사 프로그램(주요 협력사 식별, 주요 협력사 정의)
       b) 커뮤니케이션
           i) 행동규범과 그 요구 사항에 대해 주요 협력사와의 적절하고 효과적인 의사 소통 과정 또는 주요 협력사와의 계약에 해당 조항의 내용을 추가
      c) 계약
          (1) 협력사
               (a) RBA 행동규범에 대한 집행 언어
          (2) 인력 파견업체 또는 계약업체
               (a) 노동인권과 윤리에 대한 시정조치에 대해 RBA 행동규범을 이행하는 집행 언어
               (b) 국내외 법적 요건 준수
               (c) 근로자는 페널티없이 퇴사 가능
               (d) 근로자와 관련된 모든 점검 기준 준수
   2) 기록
      a) 협력사, 인력 파견업체 및 계약업체와의 계약
      b) 협력사, 인력 파견업체 및 계약업체와의 커뮤니케이션
      c) 협력사, 인력 파견업체 및 계약업체와의 이행 공지</v>
          </cell>
          <cell r="E85" t="str">
            <v>E12) Supplier Responsibility</v>
          </cell>
          <cell r="F85" t="str">
            <v xml:space="preserve">Communicating Samsung Supplier Code of Conduct requirements to next tier major suppliers
</v>
          </cell>
          <cell r="G85" t="str">
            <v>ㆍMajor : ① There is no RBA Supplier implementation procedure and there are no documented communication vehicles with Suppliers.
             ② Percentage of workers working thru Labor Agents and Contractors that cannot state how their employment terms and conditions meet
                 the relevant labor requirements of the RBA code is &gt;20%
             ③ The responsibility could be shared corporate and facility, then complete the relevant section 1 and/or 2
                 a. If implementation is done at corporate level, then verify ①. If not complete, then “Major”
                 b. If implementation at facility level, then verify ②.
                 c. If implementation at both levels, then verify ① and ②. Then, the highest of both rating apply
ㆍMinor : ① RBA Supplier implementation procedures exist but the percentage of Suppliers that have not been communicated to is ≥20%
             ② Percentage of workers working thru Labor Agents and Contractors that cannot state how their employment terms and conditions meet 
                 the relevant labor requirements of the RBA code is &gt;5% and ≤20%
ㆍN/A   : No Suppliers
[Minimum requirement]
1. Site observation : Documents are securely stored with authorized access only
2. Record review
    1) Process
       a) Suppliers : Supplier program (identification of Major Suppliers, definition of what is major)
       b) Communication : Adequate and effective communication process with its Major Suppliers on the code and its requirements or inserted the requirements of the code and
                                 its provisions into the contract it has with Major Suppliers.
       c) Contracts
          (1) Suppliers : Enforcement language on the implementation of the RBA Code
          (2) Labor Agents and Contractors
               (a) Enforcement language on the implementation of the RBA Code regarding Labor and Ethics CA
               (b) Compliance with legal requirements in both home and sending country.
               (c) Workers can resign without penalty                                (d) Conform with all AC regarding workers in their operations
   2) Records
      a) Contract with Suppliers and Labor Agents and Contractors                    b) Communication materials to Suppliers and Labor Agents and Contractors
      c) Enforcement notification to Suppliers and Labor Agents and Contractors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5" t="str">
            <v>E12)供应商责任</v>
          </cell>
          <cell r="I85" t="str">
            <v>向供应商分享三星协力社行动规范</v>
          </cell>
          <cell r="J85" t="str">
            <v>ㆍMajor           : ① 协力社无履行程序的树立，与主要协力社沟通方式没有文字化时
                       ② 通过人力派遣公司/合同企业招聘员工的20%无法阐述行为规范中的相关劳动要求事项时
ㆍMinor           : ① 虽然协力社存在履行程序，但未对主要合作公司的20%以上对象共享行动规范时， 
                       ② 通过人力派遣公司/合同企业招聘员工中，5%~20%员工无法阐述行为规范中的相关劳动要求事项时
ㆍN/A              : 无主要协力社时
[最低要求]
1. 记录确认
    1) 程序
       a) 协力社
           i) 协力社程序(识别主要协力社，主要协力社定义)
       b) 交流
           i) 对行动规范和要求事项，与主要合作商的适当、有效的沟通过程或主要合作公司的合同添加相关条款的内容
      c) 合同
          (1) 协力社
               (a)对RBA行为规范的执行语言
          (2)人力派遣企业或合同公司
               (a)对劳动人权和伦理的施政措施履行RBA行为规范的执行语言.
               (b)国内外的法律条件遵守
               (c) 员工可自由离职
               (d) 与员工相关的所有点检基准遵守
      a) 协力社和人力派遣公司及合同公司的合同.
      b) 协力社和人力派遣公司及合同公司的沟通
      c) 协力社和人力派遣公司及合同公司的履行公告
[提供的基本文档和记录]
• 主要供应商识别的分析
• 主要供应商/劳工代理计划
• 现场主要供应商准则符合性验证报告
• 纠正行动计划，针对在现场主要供应商验证报告中识别的改进领域</v>
          </cell>
        </row>
        <row r="86">
          <cell r="B86" t="str">
            <v>E12) 협력회사 책임</v>
          </cell>
          <cell r="C86" t="str">
            <v>하위 협력사 행동규범 준수 관리 프로세스</v>
          </cell>
          <cell r="D86" t="str">
            <v>ㆍPriority : 현장 서비스 제공업체의 간접고용 Full-time 근로자에 대해 A03 또는 A04항목이 Priority 위반이 확정된 경우
ㆍMajor   : ① 1개 이상의 구성요소가 누락 또는 비효율적인 경우 
              ② 협력사의 주요위반에 대한 시정조치 계획이 없는 경우
              ③ 책임은 회사와 사업장에 공유될 수 있으며, ① 또는 ②를 완료
                  a. 이행이 회사 수준에서 이루어지면 섹션 1을 검증, 완료되지 않았다면 “Major” 위반
                  b. 이행이 사업장 수준에서 이루어지면 섹션 2를 검증,
                  c. 이행이 회사 수준과 사업장 수준 모두에서I이루어지면, ①과 ②를 검증, 두 Rating중 더 높은 위반을 적용
ㆍMinor   : ① 1개 구성요소 누락 또는 유효하지 않은 경우
              ② 시스템 요소가 적절하게 문서화 되지 않았거나 금지된 경우
ㆍN/A      : 2차사가 없는 경우(공장에 협력사가 없는 경우)
[최소 요구사항]
1. 기록 검토
  1) 프로세스
        a) 협력사를 위한 RBA 행동규범 이행 프로세스가 유효하며 아래사항 포함
            i) 리스크 평가
               (1) SAQ(Self-Assessment Questionaire)와 같이 자가보고 리스크 평가가 사용되는 경우, 
                   보고 정보는 유효해야 하고 리스크 정보 검증을 위해 점검을 수행해야 함
               (2) 심사(VAP 또는 CMA) 또는 AMA( 제3자 공인 인증기관에서 수행한 경우) 허용
           ii) 위반사항이 감지된 경우 협력사와 시정조치계획 과정을 거칠 의무
          iii) Priority 위반이 발견된 상태에서 즉시 자원을 감소시키는 것이 아니라 단지 시정조치계획 프로세스의 미이행에 대해서만 약속
    2) 기록
        a) 자가 신고 Risk 평가를 위한 검증 방문 보고서
        b) 심사(VAP 또는 CMA) 또는 AMA( 제3자 공인 인증기관에서 수행한 경우) 허용
        c) 확인된 위반 사항에 대한 시정 조치 계획
        d) 시정 조치가 이행되는 검증 메커니즘</v>
          </cell>
          <cell r="E86" t="str">
            <v>E12) Supplier Responsibility</v>
          </cell>
          <cell r="F86" t="str">
            <v>Management process of the next tier major suppliers’ Samsung Supplier Code of Conduct implementation</v>
          </cell>
          <cell r="G86" t="str">
            <v>ㆍPriority : For indirect full time assigned workers of on-site service providers a priority non-conformance is confirmed on provision A03 or A04
ㆍMajor   : ① Two or more of minimum requirement elements are missing or ineffective
               ② No CAP in place for the majority of Suppliers (where applicable)
               ③ The responsibility could be shared corporate and facility, then complete the relevant section ① and/or ②
                   a. If implementation is done at corporate level, then verify ①. If not complete, then “Major”
                   b. If implementation at facility level, then verify ②.
                   c. If implementation at both levels, then verify ① and ②. Then, the highest of both rating apply
ㆍMinor  : One of minimum requirement elements is missing or ineffective, or a system element is not adequately documented or is prohibited.
ㆍN/A     : No Suppliers to facility
[Minimum requirement]
1. Record review
    1) Process
        a) RBA code implementation process for Suppliers is available and includes
            i) A risk assessment.
               (1) If a self-reported risk assessment is used such as an SAQ then information needs to be validated and/or an Audit performed to verify risk information.
               (2) An audit (VAP or CMA) or an AMA (if done by a third-party Qualified Audit Firm is accepted).
           ii) An obligation to go through the CAP process with the Supplier If non-conformances are detected
          iii) A commitment to not immediately de-source at a priority non-conformance discovery state but only at the non-implementation of the CAP process
    2) Records
        a) Verification visit reports for self-reported risk assessment
        b) An Audit (CMA or VAP), an AMA (if done by third-party qualified Audit Firm is acceptable)
        c) A corrective action plan for non-conformance areas identified
        d) A verification mechanism that corrective actions are implemented
※ Required Documents and Records
   - Major Supplier identification analysis                                     - Major Supplier/Labor Agent program
- On-site Major Supplier code conformance verification reports      - Corrective action plan for improvement areas identified in On-site Major Supplier verification reports</v>
          </cell>
          <cell r="H86" t="str">
            <v>E12)供应商责任</v>
          </cell>
          <cell r="I86" t="str">
            <v>促进下一级供应商履行行动规范的管理流程</v>
          </cell>
          <cell r="J86" t="str">
            <v>ㆍPriority : 对于现场提供服务企业的间接雇佣Full-time劳动者，A03或A04项目确定Priority违反确认时
ㆍMajor  : ① 2个以上构成因素遗漏或非效率情况下
              ② 没有对协力社主要违反事项的纠正措施时
ㆍMinor  : ① 基本要求事项中1个构成要素遗漏或无效时
              ② 系统要素未适当文书化或被禁止时
ㆍN/A     : 无2次协力社时(工厂内无协力社时)
[最低要求]
1. 记录检讨
    1) 流程
        a) 协力社履行有效的RBA行动规范过程且包括以下事项
            i) 风险评价
            (1) 如果像SAQ(Self-Assessment Questionaire)一样使用自我风险评估的话，信息需有效，并为验证风险信息需要进行检查
            (2 )审查(VAP或CMA)或AMA(第三方公认认证书执行时)允许
           ii) 如果感知到违反事项的话，有义务要与协力社确认纠正措施计划过程
          iii) 在Priority违反被发现的情况下，不是立即减少资源，而是只承诺纠正措施计划过程的未履行
    2) 记录
        a) 一份关于Risk评估的验证访问报告.
        b) 审查(VAP或CMA)或AMA(第三方公认认证书执行时)允许 
        c ) 对确认的违反事项的纠正措施计划
        d) 纠正措施落实的验证机制
[提供的基本文档和记录]
• 主要供应商识别的分析
• 主要供应商/劳工代理计划
• 现场主要供应商准则符合性验证报告
• 纠正行动计划，针对在现场主要供应商验证报告中识别的改进领域</v>
          </cell>
        </row>
      </sheetData>
      <sheetData sheetId="13" refreshError="1"/>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ompany Profile"/>
      <sheetName val="General Information"/>
      <sheetName val="Checklist"/>
      <sheetName val="Reference table"/>
      <sheetName val="Table"/>
    </sheetNames>
    <sheetDataSet>
      <sheetData sheetId="0" refreshError="1"/>
      <sheetData sheetId="1" refreshError="1"/>
      <sheetData sheetId="2"/>
      <sheetData sheetId="3" refreshError="1"/>
      <sheetData sheetId="4">
        <row r="1">
          <cell r="D1" t="str">
            <v>ID&amp;Grade&amp;Section</v>
          </cell>
          <cell r="E1" t="str">
            <v>Score</v>
          </cell>
        </row>
        <row r="2">
          <cell r="D2" t="str">
            <v>AL101ConformanceLabor</v>
          </cell>
          <cell r="E2">
            <v>5</v>
          </cell>
        </row>
        <row r="3">
          <cell r="D3" t="str">
            <v>AL101PriorityLabor</v>
          </cell>
          <cell r="E3">
            <v>0</v>
          </cell>
        </row>
        <row r="4">
          <cell r="D4" t="str">
            <v>AL101MajorLabor</v>
          </cell>
          <cell r="E4">
            <v>1</v>
          </cell>
        </row>
        <row r="5">
          <cell r="D5" t="str">
            <v>AL101MinorLabor</v>
          </cell>
          <cell r="E5">
            <v>3</v>
          </cell>
        </row>
        <row r="6">
          <cell r="D6" t="str">
            <v>AL101N/ALabor</v>
          </cell>
          <cell r="E6">
            <v>5</v>
          </cell>
        </row>
        <row r="7">
          <cell r="D7" t="str">
            <v>AL101Risk of NonconformanceLabor</v>
          </cell>
          <cell r="E7">
            <v>5</v>
          </cell>
        </row>
        <row r="8">
          <cell r="D8" t="str">
            <v>AL102ConformanceLabor</v>
          </cell>
          <cell r="E8">
            <v>4</v>
          </cell>
        </row>
        <row r="9">
          <cell r="D9" t="str">
            <v>AL102PriorityLabor</v>
          </cell>
          <cell r="E9">
            <v>0</v>
          </cell>
        </row>
        <row r="10">
          <cell r="D10" t="str">
            <v>AL102MajorLabor</v>
          </cell>
          <cell r="E10">
            <v>1</v>
          </cell>
        </row>
        <row r="11">
          <cell r="D11" t="str">
            <v>AL102MinorLabor</v>
          </cell>
          <cell r="E11">
            <v>2</v>
          </cell>
        </row>
        <row r="12">
          <cell r="D12" t="str">
            <v>AL102N/ALabor</v>
          </cell>
          <cell r="E12">
            <v>4</v>
          </cell>
        </row>
        <row r="13">
          <cell r="D13" t="str">
            <v>AL102Risk of NonconformanceLabor</v>
          </cell>
          <cell r="E13">
            <v>4</v>
          </cell>
        </row>
        <row r="14">
          <cell r="D14" t="str">
            <v>AL103ConformanceLabor</v>
          </cell>
          <cell r="E14">
            <v>4</v>
          </cell>
        </row>
        <row r="15">
          <cell r="D15" t="str">
            <v>AL103PriorityLabor</v>
          </cell>
          <cell r="E15">
            <v>0</v>
          </cell>
        </row>
        <row r="16">
          <cell r="D16" t="str">
            <v>AL103MajorLabor</v>
          </cell>
          <cell r="E16">
            <v>1</v>
          </cell>
        </row>
        <row r="17">
          <cell r="D17" t="str">
            <v>AL103MinorLabor</v>
          </cell>
          <cell r="E17">
            <v>2</v>
          </cell>
        </row>
        <row r="18">
          <cell r="D18" t="str">
            <v>AL103N/ALabor</v>
          </cell>
          <cell r="E18">
            <v>4</v>
          </cell>
        </row>
        <row r="19">
          <cell r="D19" t="str">
            <v>AL103Risk of NonconformanceLabor</v>
          </cell>
          <cell r="E19">
            <v>4</v>
          </cell>
        </row>
        <row r="20">
          <cell r="D20" t="str">
            <v>AL201ConformanceLabor</v>
          </cell>
          <cell r="E20">
            <v>5</v>
          </cell>
        </row>
        <row r="21">
          <cell r="D21" t="str">
            <v>AL201PriorityLabor</v>
          </cell>
          <cell r="E21">
            <v>0</v>
          </cell>
        </row>
        <row r="22">
          <cell r="D22" t="str">
            <v>AL201MajorLabor</v>
          </cell>
          <cell r="E22">
            <v>1</v>
          </cell>
        </row>
        <row r="23">
          <cell r="D23" t="str">
            <v>AL201MinorLabor</v>
          </cell>
          <cell r="E23">
            <v>3</v>
          </cell>
        </row>
        <row r="24">
          <cell r="D24" t="str">
            <v>AL201N/ALabor</v>
          </cell>
          <cell r="E24">
            <v>5</v>
          </cell>
        </row>
        <row r="25">
          <cell r="D25" t="str">
            <v>AL201Risk of NonconformanceLabor</v>
          </cell>
          <cell r="E25">
            <v>5</v>
          </cell>
        </row>
        <row r="26">
          <cell r="D26" t="str">
            <v>AL202ConformanceLabor</v>
          </cell>
          <cell r="E26">
            <v>4</v>
          </cell>
        </row>
        <row r="27">
          <cell r="D27" t="str">
            <v>AL202PriorityLabor</v>
          </cell>
          <cell r="E27">
            <v>0</v>
          </cell>
        </row>
        <row r="28">
          <cell r="D28" t="str">
            <v>AL202MajorLabor</v>
          </cell>
          <cell r="E28">
            <v>1</v>
          </cell>
        </row>
        <row r="29">
          <cell r="D29" t="str">
            <v>AL202MinorLabor</v>
          </cell>
          <cell r="E29">
            <v>2</v>
          </cell>
        </row>
        <row r="30">
          <cell r="D30" t="str">
            <v>AL202N/ALabor</v>
          </cell>
          <cell r="E30">
            <v>4</v>
          </cell>
        </row>
        <row r="31">
          <cell r="D31" t="str">
            <v>AL202Risk of NonconformanceLabor</v>
          </cell>
          <cell r="E31">
            <v>4</v>
          </cell>
        </row>
        <row r="32">
          <cell r="D32" t="str">
            <v>AL203ConformanceLabor</v>
          </cell>
          <cell r="E32">
            <v>3</v>
          </cell>
        </row>
        <row r="33">
          <cell r="D33" t="str">
            <v>AL203PriorityLabor</v>
          </cell>
          <cell r="E33">
            <v>0</v>
          </cell>
        </row>
        <row r="34">
          <cell r="D34" t="str">
            <v>AL203MajorLabor</v>
          </cell>
          <cell r="E34">
            <v>0</v>
          </cell>
        </row>
        <row r="35">
          <cell r="D35" t="str">
            <v>AL203MinorLabor</v>
          </cell>
          <cell r="E35">
            <v>1</v>
          </cell>
        </row>
        <row r="36">
          <cell r="D36" t="str">
            <v>AL203N/ALabor</v>
          </cell>
          <cell r="E36">
            <v>3</v>
          </cell>
        </row>
        <row r="37">
          <cell r="D37" t="str">
            <v>AL203Risk of NonconformanceLabor</v>
          </cell>
          <cell r="E37">
            <v>3</v>
          </cell>
        </row>
        <row r="38">
          <cell r="D38" t="str">
            <v>AL301ConformanceLabor</v>
          </cell>
          <cell r="E38">
            <v>5</v>
          </cell>
        </row>
        <row r="39">
          <cell r="D39" t="str">
            <v>AL301PriorityLabor</v>
          </cell>
          <cell r="E39">
            <v>0</v>
          </cell>
        </row>
        <row r="40">
          <cell r="D40" t="str">
            <v>AL301MajorLabor</v>
          </cell>
          <cell r="E40">
            <v>1</v>
          </cell>
        </row>
        <row r="41">
          <cell r="D41" t="str">
            <v>AL301MinorLabor</v>
          </cell>
          <cell r="E41">
            <v>3</v>
          </cell>
        </row>
        <row r="42">
          <cell r="D42" t="str">
            <v>AL301N/ALabor</v>
          </cell>
          <cell r="E42">
            <v>5</v>
          </cell>
        </row>
        <row r="43">
          <cell r="D43" t="str">
            <v>AL301Risk of NonconformanceLabor</v>
          </cell>
          <cell r="E43">
            <v>5</v>
          </cell>
        </row>
        <row r="44">
          <cell r="D44" t="str">
            <v>AL302ConformanceLabor</v>
          </cell>
          <cell r="E44">
            <v>4</v>
          </cell>
        </row>
        <row r="45">
          <cell r="D45" t="str">
            <v>AL302PriorityLabor</v>
          </cell>
          <cell r="E45">
            <v>0</v>
          </cell>
        </row>
        <row r="46">
          <cell r="D46" t="str">
            <v>AL302MajorLabor</v>
          </cell>
          <cell r="E46">
            <v>1</v>
          </cell>
        </row>
        <row r="47">
          <cell r="D47" t="str">
            <v>AL302MinorLabor</v>
          </cell>
          <cell r="E47">
            <v>2</v>
          </cell>
        </row>
        <row r="48">
          <cell r="D48" t="str">
            <v>AL302N/ALabor</v>
          </cell>
          <cell r="E48">
            <v>4</v>
          </cell>
        </row>
        <row r="49">
          <cell r="D49" t="str">
            <v>AL302Risk of NonconformanceLabor</v>
          </cell>
          <cell r="E49">
            <v>4</v>
          </cell>
        </row>
        <row r="50">
          <cell r="D50" t="str">
            <v>AL303ConformanceLabor</v>
          </cell>
          <cell r="E50">
            <v>4</v>
          </cell>
        </row>
        <row r="51">
          <cell r="D51" t="str">
            <v>AL303PriorityLabor</v>
          </cell>
          <cell r="E51">
            <v>0</v>
          </cell>
        </row>
        <row r="52">
          <cell r="D52" t="str">
            <v>AL303MajorLabor</v>
          </cell>
          <cell r="E52">
            <v>1</v>
          </cell>
        </row>
        <row r="53">
          <cell r="D53" t="str">
            <v>AL303MinorLabor</v>
          </cell>
          <cell r="E53">
            <v>2</v>
          </cell>
        </row>
        <row r="54">
          <cell r="D54" t="str">
            <v>AL303N/ALabor</v>
          </cell>
          <cell r="E54">
            <v>4</v>
          </cell>
        </row>
        <row r="55">
          <cell r="D55" t="str">
            <v>AL303Risk of NonconformanceLabor</v>
          </cell>
          <cell r="E55">
            <v>4</v>
          </cell>
        </row>
        <row r="56">
          <cell r="D56" t="str">
            <v>AL401ConformanceLabor</v>
          </cell>
          <cell r="E56">
            <v>5</v>
          </cell>
        </row>
        <row r="57">
          <cell r="D57" t="str">
            <v>AL401PriorityLabor</v>
          </cell>
          <cell r="E57">
            <v>0</v>
          </cell>
        </row>
        <row r="58">
          <cell r="D58" t="str">
            <v>AL401MajorLabor</v>
          </cell>
          <cell r="E58">
            <v>1</v>
          </cell>
        </row>
        <row r="59">
          <cell r="D59" t="str">
            <v>AL401MinorLabor</v>
          </cell>
          <cell r="E59">
            <v>3</v>
          </cell>
        </row>
        <row r="60">
          <cell r="D60" t="str">
            <v>AL401N/ALabor</v>
          </cell>
          <cell r="E60">
            <v>5</v>
          </cell>
        </row>
        <row r="61">
          <cell r="D61" t="str">
            <v>AL401Risk of NonconformanceLabor</v>
          </cell>
          <cell r="E61">
            <v>5</v>
          </cell>
        </row>
        <row r="62">
          <cell r="D62" t="str">
            <v>AL402ConformanceLabor</v>
          </cell>
          <cell r="E62">
            <v>4</v>
          </cell>
        </row>
        <row r="63">
          <cell r="D63" t="str">
            <v>AL402PriorityLabor</v>
          </cell>
          <cell r="E63">
            <v>0</v>
          </cell>
        </row>
        <row r="64">
          <cell r="D64" t="str">
            <v>AL402MajorLabor</v>
          </cell>
          <cell r="E64">
            <v>1</v>
          </cell>
        </row>
        <row r="65">
          <cell r="D65" t="str">
            <v>AL402MinorLabor</v>
          </cell>
          <cell r="E65">
            <v>2</v>
          </cell>
        </row>
        <row r="66">
          <cell r="D66" t="str">
            <v>AL402N/ALabor</v>
          </cell>
          <cell r="E66">
            <v>4</v>
          </cell>
        </row>
        <row r="67">
          <cell r="D67" t="str">
            <v>AL402Risk of NonconformanceLabor</v>
          </cell>
          <cell r="E67">
            <v>4</v>
          </cell>
        </row>
        <row r="68">
          <cell r="D68" t="str">
            <v>AL403ConformanceLabor</v>
          </cell>
          <cell r="E68">
            <v>5</v>
          </cell>
        </row>
        <row r="69">
          <cell r="D69" t="str">
            <v>AL403PriorityLabor</v>
          </cell>
          <cell r="E69">
            <v>0</v>
          </cell>
        </row>
        <row r="70">
          <cell r="D70" t="str">
            <v>AL403MajorLabor</v>
          </cell>
          <cell r="E70">
            <v>1</v>
          </cell>
        </row>
        <row r="71">
          <cell r="D71" t="str">
            <v>AL403MinorLabor</v>
          </cell>
          <cell r="E71">
            <v>3</v>
          </cell>
        </row>
        <row r="72">
          <cell r="D72" t="str">
            <v>AL403N/ALabor</v>
          </cell>
          <cell r="E72">
            <v>5</v>
          </cell>
        </row>
        <row r="73">
          <cell r="D73" t="str">
            <v>AL403Risk of NonconformanceLabor</v>
          </cell>
          <cell r="E73">
            <v>5</v>
          </cell>
        </row>
        <row r="74">
          <cell r="D74" t="str">
            <v>AL501ConformanceLabor</v>
          </cell>
          <cell r="E74">
            <v>5</v>
          </cell>
        </row>
        <row r="75">
          <cell r="D75" t="str">
            <v>AL501PriorityLabor</v>
          </cell>
          <cell r="E75">
            <v>0</v>
          </cell>
        </row>
        <row r="76">
          <cell r="D76" t="str">
            <v>AL501MajorLabor</v>
          </cell>
          <cell r="E76">
            <v>1</v>
          </cell>
        </row>
        <row r="77">
          <cell r="D77" t="str">
            <v>AL501MinorLabor</v>
          </cell>
          <cell r="E77">
            <v>3</v>
          </cell>
        </row>
        <row r="78">
          <cell r="D78" t="str">
            <v>AL501N/ALabor</v>
          </cell>
          <cell r="E78">
            <v>5</v>
          </cell>
        </row>
        <row r="79">
          <cell r="D79" t="str">
            <v>AL501Risk of NonconformanceLabor</v>
          </cell>
          <cell r="E79">
            <v>5</v>
          </cell>
        </row>
        <row r="80">
          <cell r="D80" t="str">
            <v>AL502ConformanceLabor</v>
          </cell>
          <cell r="E80">
            <v>3</v>
          </cell>
        </row>
        <row r="81">
          <cell r="D81" t="str">
            <v>AL502PriorityLabor</v>
          </cell>
          <cell r="E81">
            <v>0</v>
          </cell>
        </row>
        <row r="82">
          <cell r="D82" t="str">
            <v>AL502MajorLabor</v>
          </cell>
          <cell r="E82">
            <v>0</v>
          </cell>
        </row>
        <row r="83">
          <cell r="D83" t="str">
            <v>AL502MinorLabor</v>
          </cell>
          <cell r="E83">
            <v>1</v>
          </cell>
        </row>
        <row r="84">
          <cell r="D84" t="str">
            <v>AL502N/ALabor</v>
          </cell>
          <cell r="E84">
            <v>3</v>
          </cell>
        </row>
        <row r="85">
          <cell r="D85" t="str">
            <v>AL502Risk of NonconformanceLabor</v>
          </cell>
          <cell r="E85">
            <v>3</v>
          </cell>
        </row>
        <row r="86">
          <cell r="D86" t="str">
            <v>AL503ConformanceLabor</v>
          </cell>
          <cell r="E86">
            <v>1</v>
          </cell>
        </row>
        <row r="87">
          <cell r="D87" t="str">
            <v>AL503PriorityLabor</v>
          </cell>
          <cell r="E87">
            <v>0</v>
          </cell>
        </row>
        <row r="88">
          <cell r="D88" t="str">
            <v>AL503MajorLabor</v>
          </cell>
          <cell r="E88">
            <v>0.2</v>
          </cell>
        </row>
        <row r="89">
          <cell r="D89" t="str">
            <v>AL503MinorLabor</v>
          </cell>
          <cell r="E89">
            <v>0.5</v>
          </cell>
        </row>
        <row r="90">
          <cell r="D90" t="str">
            <v>AL503N/ALabor</v>
          </cell>
          <cell r="E90">
            <v>1</v>
          </cell>
        </row>
        <row r="91">
          <cell r="D91" t="str">
            <v>AL503Risk of NonconformanceLabor</v>
          </cell>
          <cell r="E91">
            <v>1</v>
          </cell>
        </row>
        <row r="92">
          <cell r="D92" t="str">
            <v>AL504ConformanceLabor</v>
          </cell>
          <cell r="E92">
            <v>1</v>
          </cell>
        </row>
        <row r="93">
          <cell r="D93" t="str">
            <v>AL504PriorityLabor</v>
          </cell>
          <cell r="E93">
            <v>0</v>
          </cell>
        </row>
        <row r="94">
          <cell r="D94" t="str">
            <v>AL504MajorLabor</v>
          </cell>
          <cell r="E94">
            <v>0.2</v>
          </cell>
        </row>
        <row r="95">
          <cell r="D95" t="str">
            <v>AL504MinorLabor</v>
          </cell>
          <cell r="E95">
            <v>0.5</v>
          </cell>
        </row>
        <row r="96">
          <cell r="D96" t="str">
            <v>AL504N/ALabor</v>
          </cell>
          <cell r="E96">
            <v>1</v>
          </cell>
        </row>
        <row r="97">
          <cell r="D97" t="str">
            <v>AL504Risk of NonconformanceLabor</v>
          </cell>
          <cell r="E97">
            <v>1</v>
          </cell>
        </row>
        <row r="98">
          <cell r="D98" t="str">
            <v>AL601ConformanceLabor</v>
          </cell>
          <cell r="E98">
            <v>2</v>
          </cell>
        </row>
        <row r="99">
          <cell r="D99" t="str">
            <v>AL601PriorityLabor</v>
          </cell>
          <cell r="E99">
            <v>0</v>
          </cell>
        </row>
        <row r="100">
          <cell r="D100" t="str">
            <v>AL601MajorLabor</v>
          </cell>
          <cell r="E100">
            <v>0.5</v>
          </cell>
        </row>
        <row r="101">
          <cell r="D101" t="str">
            <v>AL601MinorLabor</v>
          </cell>
          <cell r="E101">
            <v>1</v>
          </cell>
        </row>
        <row r="102">
          <cell r="D102" t="str">
            <v>AL601N/ALabor</v>
          </cell>
          <cell r="E102">
            <v>2</v>
          </cell>
        </row>
        <row r="103">
          <cell r="D103" t="str">
            <v>AL601Risk of NonconformanceLabor</v>
          </cell>
          <cell r="E103">
            <v>2</v>
          </cell>
        </row>
        <row r="104">
          <cell r="D104" t="str">
            <v>AL602ConformanceLabor</v>
          </cell>
          <cell r="E104">
            <v>2</v>
          </cell>
        </row>
        <row r="105">
          <cell r="D105" t="str">
            <v>AL602PriorityLabor</v>
          </cell>
          <cell r="E105">
            <v>0</v>
          </cell>
        </row>
        <row r="106">
          <cell r="D106" t="str">
            <v>AL602MajorLabor</v>
          </cell>
          <cell r="E106">
            <v>0.5</v>
          </cell>
        </row>
        <row r="107">
          <cell r="D107" t="str">
            <v>AL602MinorLabor</v>
          </cell>
          <cell r="E107">
            <v>1</v>
          </cell>
        </row>
        <row r="108">
          <cell r="D108" t="str">
            <v>AL602N/ALabor</v>
          </cell>
          <cell r="E108">
            <v>2</v>
          </cell>
        </row>
        <row r="109">
          <cell r="D109" t="str">
            <v>AL602Risk of NonconformanceLabor</v>
          </cell>
          <cell r="E109">
            <v>2</v>
          </cell>
        </row>
        <row r="110">
          <cell r="D110" t="str">
            <v>AL603ConformanceLabor</v>
          </cell>
          <cell r="E110">
            <v>2</v>
          </cell>
        </row>
        <row r="111">
          <cell r="D111" t="str">
            <v>AL603PriorityLabor</v>
          </cell>
          <cell r="E111">
            <v>0</v>
          </cell>
        </row>
        <row r="112">
          <cell r="D112" t="str">
            <v>AL603MajorLabor</v>
          </cell>
          <cell r="E112">
            <v>0.5</v>
          </cell>
        </row>
        <row r="113">
          <cell r="D113" t="str">
            <v>AL603MinorLabor</v>
          </cell>
          <cell r="E113">
            <v>1</v>
          </cell>
        </row>
        <row r="114">
          <cell r="D114" t="str">
            <v>AL603N/ALabor</v>
          </cell>
          <cell r="E114">
            <v>2</v>
          </cell>
        </row>
        <row r="115">
          <cell r="D115" t="str">
            <v>AL603Risk of NonconformanceLabor</v>
          </cell>
          <cell r="E115">
            <v>2</v>
          </cell>
        </row>
        <row r="116">
          <cell r="D116" t="str">
            <v>AM101ConformanceLabor</v>
          </cell>
          <cell r="E116">
            <v>0.5</v>
          </cell>
        </row>
        <row r="117">
          <cell r="D117" t="str">
            <v>AM101PriorityLabor</v>
          </cell>
          <cell r="E117">
            <v>0</v>
          </cell>
        </row>
        <row r="118">
          <cell r="D118" t="str">
            <v>AM101MajorLabor</v>
          </cell>
          <cell r="E118">
            <v>0.1</v>
          </cell>
        </row>
        <row r="119">
          <cell r="D119" t="str">
            <v>AM101MinorLabor</v>
          </cell>
          <cell r="E119">
            <v>0.3</v>
          </cell>
        </row>
        <row r="120">
          <cell r="D120" t="str">
            <v>AM101N/ALabor</v>
          </cell>
          <cell r="E120">
            <v>0.5</v>
          </cell>
        </row>
        <row r="121">
          <cell r="D121" t="str">
            <v>AM101Risk of NonconformanceLabor</v>
          </cell>
          <cell r="E121">
            <v>0.5</v>
          </cell>
        </row>
        <row r="122">
          <cell r="D122" t="str">
            <v>AM102ConformanceLabor</v>
          </cell>
          <cell r="E122">
            <v>0.5</v>
          </cell>
        </row>
        <row r="123">
          <cell r="D123" t="str">
            <v>AM102PriorityLabor</v>
          </cell>
          <cell r="E123">
            <v>0</v>
          </cell>
        </row>
        <row r="124">
          <cell r="D124" t="str">
            <v>AM102MajorLabor</v>
          </cell>
          <cell r="E124">
            <v>0.1</v>
          </cell>
        </row>
        <row r="125">
          <cell r="D125" t="str">
            <v>AM102MinorLabor</v>
          </cell>
          <cell r="E125">
            <v>0.3</v>
          </cell>
        </row>
        <row r="126">
          <cell r="D126" t="str">
            <v>AM102N/ALabor</v>
          </cell>
          <cell r="E126">
            <v>0.5</v>
          </cell>
        </row>
        <row r="127">
          <cell r="D127" t="str">
            <v>AM102Risk of NonconformanceLabor</v>
          </cell>
          <cell r="E127">
            <v>0.5</v>
          </cell>
        </row>
        <row r="128">
          <cell r="D128" t="str">
            <v>AM201ConformanceLabor</v>
          </cell>
          <cell r="E128">
            <v>0.5</v>
          </cell>
        </row>
        <row r="129">
          <cell r="D129" t="str">
            <v>AM201PriorityLabor</v>
          </cell>
          <cell r="E129">
            <v>0</v>
          </cell>
        </row>
        <row r="130">
          <cell r="D130" t="str">
            <v>AM201MajorLabor</v>
          </cell>
          <cell r="E130">
            <v>0.1</v>
          </cell>
        </row>
        <row r="131">
          <cell r="D131" t="str">
            <v>AM201MinorLabor</v>
          </cell>
          <cell r="E131">
            <v>0.3</v>
          </cell>
        </row>
        <row r="132">
          <cell r="D132" t="str">
            <v>AM201N/ALabor</v>
          </cell>
          <cell r="E132">
            <v>0.5</v>
          </cell>
        </row>
        <row r="133">
          <cell r="D133" t="str">
            <v>AM201Risk of NonconformanceLabor</v>
          </cell>
          <cell r="E133">
            <v>0.5</v>
          </cell>
        </row>
        <row r="134">
          <cell r="D134" t="str">
            <v>AM202ConformanceLabor</v>
          </cell>
          <cell r="E134">
            <v>0.5</v>
          </cell>
        </row>
        <row r="135">
          <cell r="D135" t="str">
            <v>AM202PriorityLabor</v>
          </cell>
          <cell r="E135">
            <v>0</v>
          </cell>
        </row>
        <row r="136">
          <cell r="D136" t="str">
            <v>AM202MajorLabor</v>
          </cell>
          <cell r="E136">
            <v>0.1</v>
          </cell>
        </row>
        <row r="137">
          <cell r="D137" t="str">
            <v>AM202MinorLabor</v>
          </cell>
          <cell r="E137">
            <v>0.3</v>
          </cell>
        </row>
        <row r="138">
          <cell r="D138" t="str">
            <v>AM202N/ALabor</v>
          </cell>
          <cell r="E138">
            <v>0.5</v>
          </cell>
        </row>
        <row r="139">
          <cell r="D139" t="str">
            <v>AM202Risk of NonconformanceLabor</v>
          </cell>
          <cell r="E139">
            <v>0.5</v>
          </cell>
        </row>
        <row r="140">
          <cell r="D140" t="str">
            <v>AM203ConformanceLabor</v>
          </cell>
          <cell r="E140">
            <v>0.5</v>
          </cell>
        </row>
        <row r="141">
          <cell r="D141" t="str">
            <v>AM203PriorityLabor</v>
          </cell>
          <cell r="E141">
            <v>0</v>
          </cell>
        </row>
        <row r="142">
          <cell r="D142" t="str">
            <v>AM203MajorLabor</v>
          </cell>
          <cell r="E142">
            <v>0.1</v>
          </cell>
        </row>
        <row r="143">
          <cell r="D143" t="str">
            <v>AM203MinorLabor</v>
          </cell>
          <cell r="E143">
            <v>0.3</v>
          </cell>
        </row>
        <row r="144">
          <cell r="D144" t="str">
            <v>AM203N/ALabor</v>
          </cell>
          <cell r="E144">
            <v>0.5</v>
          </cell>
        </row>
        <row r="145">
          <cell r="D145" t="str">
            <v>AM203Risk of NonconformanceLabor</v>
          </cell>
          <cell r="E145">
            <v>0.5</v>
          </cell>
        </row>
        <row r="146">
          <cell r="D146" t="str">
            <v>AM301ConformanceLabor</v>
          </cell>
          <cell r="E146">
            <v>0.5</v>
          </cell>
        </row>
        <row r="147">
          <cell r="D147" t="str">
            <v>AM301PriorityLabor</v>
          </cell>
          <cell r="E147">
            <v>0</v>
          </cell>
        </row>
        <row r="148">
          <cell r="D148" t="str">
            <v>AM301MajorLabor</v>
          </cell>
          <cell r="E148">
            <v>0.1</v>
          </cell>
        </row>
        <row r="149">
          <cell r="D149" t="str">
            <v>AM301MinorLabor</v>
          </cell>
          <cell r="E149">
            <v>0.3</v>
          </cell>
        </row>
        <row r="150">
          <cell r="D150" t="str">
            <v>AM301N/ALabor</v>
          </cell>
          <cell r="E150">
            <v>0.5</v>
          </cell>
        </row>
        <row r="151">
          <cell r="D151" t="str">
            <v>AM301Risk of NonconformanceLabor</v>
          </cell>
          <cell r="E151">
            <v>0.5</v>
          </cell>
        </row>
        <row r="152">
          <cell r="D152" t="str">
            <v>AM302ConformanceLabor</v>
          </cell>
          <cell r="E152">
            <v>0.5</v>
          </cell>
        </row>
        <row r="153">
          <cell r="D153" t="str">
            <v>AM302PriorityLabor</v>
          </cell>
          <cell r="E153">
            <v>0</v>
          </cell>
        </row>
        <row r="154">
          <cell r="D154" t="str">
            <v>AM302MajorLabor</v>
          </cell>
          <cell r="E154">
            <v>0.1</v>
          </cell>
        </row>
        <row r="155">
          <cell r="D155" t="str">
            <v>AM302MinorLabor</v>
          </cell>
          <cell r="E155">
            <v>0.3</v>
          </cell>
        </row>
        <row r="156">
          <cell r="D156" t="str">
            <v>AM302N/ALabor</v>
          </cell>
          <cell r="E156">
            <v>0.5</v>
          </cell>
        </row>
        <row r="157">
          <cell r="D157" t="str">
            <v>AM302Risk of NonconformanceLabor</v>
          </cell>
          <cell r="E157">
            <v>0.5</v>
          </cell>
        </row>
        <row r="158">
          <cell r="D158" t="str">
            <v>AM401ConformanceLabor</v>
          </cell>
          <cell r="E158">
            <v>0.5</v>
          </cell>
        </row>
        <row r="159">
          <cell r="D159" t="str">
            <v>AM401PriorityLabor</v>
          </cell>
          <cell r="E159">
            <v>0</v>
          </cell>
        </row>
        <row r="160">
          <cell r="D160" t="str">
            <v>AM401MajorLabor</v>
          </cell>
          <cell r="E160">
            <v>0.1</v>
          </cell>
        </row>
        <row r="161">
          <cell r="D161" t="str">
            <v>AM401MinorLabor</v>
          </cell>
          <cell r="E161">
            <v>0.3</v>
          </cell>
        </row>
        <row r="162">
          <cell r="D162" t="str">
            <v>AM401N/ALabor</v>
          </cell>
          <cell r="E162">
            <v>0.5</v>
          </cell>
        </row>
        <row r="163">
          <cell r="D163" t="str">
            <v>AM401Risk of NonconformanceLabor</v>
          </cell>
          <cell r="E163">
            <v>0.5</v>
          </cell>
        </row>
        <row r="164">
          <cell r="D164" t="str">
            <v>AM402ConformanceLabor</v>
          </cell>
          <cell r="E164">
            <v>0.5</v>
          </cell>
        </row>
        <row r="165">
          <cell r="D165" t="str">
            <v>AM402PriorityLabor</v>
          </cell>
          <cell r="E165">
            <v>0</v>
          </cell>
        </row>
        <row r="166">
          <cell r="D166" t="str">
            <v>AM402MajorLabor</v>
          </cell>
          <cell r="E166">
            <v>0.1</v>
          </cell>
        </row>
        <row r="167">
          <cell r="D167" t="str">
            <v>AM402MinorLabor</v>
          </cell>
          <cell r="E167">
            <v>0.3</v>
          </cell>
        </row>
        <row r="168">
          <cell r="D168" t="str">
            <v>AM402N/ALabor</v>
          </cell>
          <cell r="E168">
            <v>0.5</v>
          </cell>
        </row>
        <row r="169">
          <cell r="D169" t="str">
            <v>AM402Risk of NonconformanceLabor</v>
          </cell>
          <cell r="E169">
            <v>0.5</v>
          </cell>
        </row>
        <row r="170">
          <cell r="D170" t="str">
            <v>AM403ConformanceLabor</v>
          </cell>
          <cell r="E170">
            <v>0.5</v>
          </cell>
        </row>
        <row r="171">
          <cell r="D171" t="str">
            <v>AM403PriorityLabor</v>
          </cell>
          <cell r="E171">
            <v>0</v>
          </cell>
        </row>
        <row r="172">
          <cell r="D172" t="str">
            <v>AM403MajorLabor</v>
          </cell>
          <cell r="E172">
            <v>0.1</v>
          </cell>
        </row>
        <row r="173">
          <cell r="D173" t="str">
            <v>AM403MinorLabor</v>
          </cell>
          <cell r="E173">
            <v>0.3</v>
          </cell>
        </row>
        <row r="174">
          <cell r="D174" t="str">
            <v>AM403N/ALabor</v>
          </cell>
          <cell r="E174">
            <v>0.5</v>
          </cell>
        </row>
        <row r="175">
          <cell r="D175" t="str">
            <v>AM403Risk of NonconformanceLabor</v>
          </cell>
          <cell r="E175">
            <v>0.5</v>
          </cell>
        </row>
        <row r="176">
          <cell r="D176" t="str">
            <v>BH101ConformanceEHS</v>
          </cell>
          <cell r="E176">
            <v>3</v>
          </cell>
        </row>
        <row r="177">
          <cell r="D177" t="str">
            <v>BH101PriorityEHS</v>
          </cell>
          <cell r="E177">
            <v>0</v>
          </cell>
        </row>
        <row r="178">
          <cell r="D178" t="str">
            <v>BH101MajorEHS</v>
          </cell>
          <cell r="E178">
            <v>1</v>
          </cell>
        </row>
        <row r="179">
          <cell r="D179" t="str">
            <v>BH101MinorEHS</v>
          </cell>
          <cell r="E179">
            <v>2</v>
          </cell>
        </row>
        <row r="180">
          <cell r="D180" t="str">
            <v>BH101N/AEHS</v>
          </cell>
          <cell r="E180">
            <v>3</v>
          </cell>
        </row>
        <row r="181">
          <cell r="D181" t="str">
            <v>BH101Risk of NonconformanceEHS</v>
          </cell>
          <cell r="E181">
            <v>3</v>
          </cell>
        </row>
        <row r="182">
          <cell r="D182" t="str">
            <v>BH102ConformanceEHS</v>
          </cell>
          <cell r="E182">
            <v>5</v>
          </cell>
        </row>
        <row r="183">
          <cell r="D183" t="str">
            <v>BH102PriorityEHS</v>
          </cell>
          <cell r="E183">
            <v>0</v>
          </cell>
        </row>
        <row r="184">
          <cell r="D184" t="str">
            <v>BH102MajorEHS</v>
          </cell>
          <cell r="E184">
            <v>1</v>
          </cell>
        </row>
        <row r="185">
          <cell r="D185" t="str">
            <v>BH102MinorEHS</v>
          </cell>
          <cell r="E185">
            <v>3</v>
          </cell>
        </row>
        <row r="186">
          <cell r="D186" t="str">
            <v>BH102N/AEHS</v>
          </cell>
          <cell r="E186">
            <v>5</v>
          </cell>
        </row>
        <row r="187">
          <cell r="D187" t="str">
            <v>BH102Risk of NonconformanceEHS</v>
          </cell>
          <cell r="E187">
            <v>5</v>
          </cell>
        </row>
        <row r="188">
          <cell r="D188" t="str">
            <v>BH103ConformanceEHS</v>
          </cell>
          <cell r="E188">
            <v>2</v>
          </cell>
        </row>
        <row r="189">
          <cell r="D189" t="str">
            <v>BH103PriorityEHS</v>
          </cell>
          <cell r="E189">
            <v>0</v>
          </cell>
        </row>
        <row r="190">
          <cell r="D190" t="str">
            <v>BH103MajorEHS</v>
          </cell>
          <cell r="E190">
            <v>0.5</v>
          </cell>
        </row>
        <row r="191">
          <cell r="D191" t="str">
            <v>BH103MinorEHS</v>
          </cell>
          <cell r="E191">
            <v>1</v>
          </cell>
        </row>
        <row r="192">
          <cell r="D192" t="str">
            <v>BH103N/AEHS</v>
          </cell>
          <cell r="E192">
            <v>2</v>
          </cell>
        </row>
        <row r="193">
          <cell r="D193" t="str">
            <v>BH103Risk of NonconformanceEHS</v>
          </cell>
          <cell r="E193">
            <v>2</v>
          </cell>
        </row>
        <row r="194">
          <cell r="D194" t="str">
            <v>BH201ConformanceEHS</v>
          </cell>
          <cell r="E194">
            <v>6</v>
          </cell>
        </row>
        <row r="195">
          <cell r="D195" t="str">
            <v>BH201PriorityEHS</v>
          </cell>
          <cell r="E195">
            <v>0</v>
          </cell>
        </row>
        <row r="196">
          <cell r="D196" t="str">
            <v>BH201MajorEHS</v>
          </cell>
          <cell r="E196">
            <v>2</v>
          </cell>
        </row>
        <row r="197">
          <cell r="D197" t="str">
            <v>BH201MinorEHS</v>
          </cell>
          <cell r="E197">
            <v>4</v>
          </cell>
        </row>
        <row r="198">
          <cell r="D198" t="str">
            <v>BH201N/AEHS</v>
          </cell>
          <cell r="E198">
            <v>6</v>
          </cell>
        </row>
        <row r="199">
          <cell r="D199" t="str">
            <v>BH201Risk of NonconformanceEHS</v>
          </cell>
          <cell r="E199">
            <v>6</v>
          </cell>
        </row>
        <row r="200">
          <cell r="D200" t="str">
            <v>BH202ConformanceEHS</v>
          </cell>
          <cell r="E200">
            <v>3</v>
          </cell>
        </row>
        <row r="201">
          <cell r="D201" t="str">
            <v>BH202PriorityEHS</v>
          </cell>
          <cell r="E201">
            <v>0</v>
          </cell>
        </row>
        <row r="202">
          <cell r="D202" t="str">
            <v>BH202MajorEHS</v>
          </cell>
          <cell r="E202">
            <v>1</v>
          </cell>
        </row>
        <row r="203">
          <cell r="D203" t="str">
            <v>BH202MinorEHS</v>
          </cell>
          <cell r="E203">
            <v>2</v>
          </cell>
        </row>
        <row r="204">
          <cell r="D204" t="str">
            <v>BH202N/AEHS</v>
          </cell>
          <cell r="E204">
            <v>3</v>
          </cell>
        </row>
        <row r="205">
          <cell r="D205" t="str">
            <v>BH202Risk of NonconformanceEHS</v>
          </cell>
          <cell r="E205">
            <v>3</v>
          </cell>
        </row>
        <row r="206">
          <cell r="D206" t="str">
            <v>BH203ConformanceEHS</v>
          </cell>
          <cell r="E206">
            <v>3</v>
          </cell>
        </row>
        <row r="207">
          <cell r="D207" t="str">
            <v>BH203PriorityEHS</v>
          </cell>
          <cell r="E207">
            <v>0</v>
          </cell>
        </row>
        <row r="208">
          <cell r="D208" t="str">
            <v>BH203MajorEHS</v>
          </cell>
          <cell r="E208">
            <v>1</v>
          </cell>
        </row>
        <row r="209">
          <cell r="D209" t="str">
            <v>BH203MinorEHS</v>
          </cell>
          <cell r="E209">
            <v>2</v>
          </cell>
        </row>
        <row r="210">
          <cell r="D210" t="str">
            <v>BH203N/AEHS</v>
          </cell>
          <cell r="E210">
            <v>3</v>
          </cell>
        </row>
        <row r="211">
          <cell r="D211" t="str">
            <v>BH203Risk of NonconformanceEHS</v>
          </cell>
          <cell r="E211">
            <v>3</v>
          </cell>
        </row>
        <row r="212">
          <cell r="D212" t="str">
            <v>BH204ConformanceEHS</v>
          </cell>
          <cell r="E212">
            <v>2</v>
          </cell>
        </row>
        <row r="213">
          <cell r="D213" t="str">
            <v>BH204PriorityEHS</v>
          </cell>
          <cell r="E213">
            <v>0</v>
          </cell>
        </row>
        <row r="214">
          <cell r="D214" t="str">
            <v>BH204MajorEHS</v>
          </cell>
          <cell r="E214">
            <v>0.5</v>
          </cell>
        </row>
        <row r="215">
          <cell r="D215" t="str">
            <v>BH204MinorEHS</v>
          </cell>
          <cell r="E215">
            <v>1</v>
          </cell>
        </row>
        <row r="216">
          <cell r="D216" t="str">
            <v>BH204N/AEHS</v>
          </cell>
          <cell r="E216">
            <v>2</v>
          </cell>
        </row>
        <row r="217">
          <cell r="D217" t="str">
            <v>BH204Risk of NonconformanceEHS</v>
          </cell>
          <cell r="E217">
            <v>2</v>
          </cell>
        </row>
        <row r="218">
          <cell r="D218" t="str">
            <v>BH301ConformanceEHS</v>
          </cell>
          <cell r="E218">
            <v>2</v>
          </cell>
        </row>
        <row r="219">
          <cell r="D219" t="str">
            <v>BH301PriorityEHS</v>
          </cell>
          <cell r="E219">
            <v>0</v>
          </cell>
        </row>
        <row r="220">
          <cell r="D220" t="str">
            <v>BH301MajorEHS</v>
          </cell>
          <cell r="E220">
            <v>0.5</v>
          </cell>
        </row>
        <row r="221">
          <cell r="D221" t="str">
            <v>BH301MinorEHS</v>
          </cell>
          <cell r="E221">
            <v>1</v>
          </cell>
        </row>
        <row r="222">
          <cell r="D222" t="str">
            <v>BH301N/AEHS</v>
          </cell>
          <cell r="E222">
            <v>2</v>
          </cell>
        </row>
        <row r="223">
          <cell r="D223" t="str">
            <v>BH301Risk of NonconformanceEHS</v>
          </cell>
          <cell r="E223">
            <v>2</v>
          </cell>
        </row>
        <row r="224">
          <cell r="D224" t="str">
            <v>BH302ConformanceEHS</v>
          </cell>
          <cell r="E224">
            <v>2</v>
          </cell>
        </row>
        <row r="225">
          <cell r="D225" t="str">
            <v>BH302PriorityEHS</v>
          </cell>
          <cell r="E225">
            <v>0</v>
          </cell>
        </row>
        <row r="226">
          <cell r="D226" t="str">
            <v>BH302MajorEHS</v>
          </cell>
          <cell r="E226">
            <v>0.5</v>
          </cell>
        </row>
        <row r="227">
          <cell r="D227" t="str">
            <v>BH302MinorEHS</v>
          </cell>
          <cell r="E227">
            <v>1</v>
          </cell>
        </row>
        <row r="228">
          <cell r="D228" t="str">
            <v>BH302N/AEHS</v>
          </cell>
          <cell r="E228">
            <v>2</v>
          </cell>
        </row>
        <row r="229">
          <cell r="D229" t="str">
            <v>BH302Risk of NonconformanceEHS</v>
          </cell>
          <cell r="E229">
            <v>2</v>
          </cell>
        </row>
        <row r="230">
          <cell r="D230" t="str">
            <v>BH401ConformanceEHS</v>
          </cell>
          <cell r="E230">
            <v>6</v>
          </cell>
        </row>
        <row r="231">
          <cell r="D231" t="str">
            <v>BH401PriorityEHS</v>
          </cell>
          <cell r="E231">
            <v>0</v>
          </cell>
        </row>
        <row r="232">
          <cell r="D232" t="str">
            <v>BH401MajorEHS</v>
          </cell>
          <cell r="E232">
            <v>2</v>
          </cell>
        </row>
        <row r="233">
          <cell r="D233" t="str">
            <v>BH401MinorEHS</v>
          </cell>
          <cell r="E233">
            <v>4</v>
          </cell>
        </row>
        <row r="234">
          <cell r="D234" t="str">
            <v>BH401N/AEHS</v>
          </cell>
          <cell r="E234">
            <v>6</v>
          </cell>
        </row>
        <row r="235">
          <cell r="D235" t="str">
            <v>BH401Risk of NonconformanceEHS</v>
          </cell>
          <cell r="E235">
            <v>6</v>
          </cell>
        </row>
        <row r="236">
          <cell r="D236" t="str">
            <v>BH501ConformanceEHS</v>
          </cell>
          <cell r="E236">
            <v>2</v>
          </cell>
        </row>
        <row r="237">
          <cell r="D237" t="str">
            <v>BH501PriorityEHS</v>
          </cell>
          <cell r="E237">
            <v>0</v>
          </cell>
        </row>
        <row r="238">
          <cell r="D238" t="str">
            <v>BH501MajorEHS</v>
          </cell>
          <cell r="E238">
            <v>0.5</v>
          </cell>
        </row>
        <row r="239">
          <cell r="D239" t="str">
            <v>BH501MinorEHS</v>
          </cell>
          <cell r="E239">
            <v>1</v>
          </cell>
        </row>
        <row r="240">
          <cell r="D240" t="str">
            <v>BH501N/AEHS</v>
          </cell>
          <cell r="E240">
            <v>2</v>
          </cell>
        </row>
        <row r="241">
          <cell r="D241" t="str">
            <v>BH501Risk of NonconformanceEHS</v>
          </cell>
          <cell r="E241">
            <v>2</v>
          </cell>
        </row>
        <row r="242">
          <cell r="D242" t="str">
            <v>BH601ConformanceEHS</v>
          </cell>
          <cell r="E242">
            <v>6</v>
          </cell>
        </row>
        <row r="243">
          <cell r="D243" t="str">
            <v>BH601PriorityEHS</v>
          </cell>
          <cell r="E243">
            <v>0</v>
          </cell>
        </row>
        <row r="244">
          <cell r="D244" t="str">
            <v>BH601MajorEHS</v>
          </cell>
          <cell r="E244">
            <v>2</v>
          </cell>
        </row>
        <row r="245">
          <cell r="D245" t="str">
            <v>BH601MinorEHS</v>
          </cell>
          <cell r="E245">
            <v>4</v>
          </cell>
        </row>
        <row r="246">
          <cell r="D246" t="str">
            <v>BH601N/AEHS</v>
          </cell>
          <cell r="E246">
            <v>6</v>
          </cell>
        </row>
        <row r="247">
          <cell r="D247" t="str">
            <v>BH601Risk of NonconformanceEHS</v>
          </cell>
          <cell r="E247">
            <v>6</v>
          </cell>
        </row>
        <row r="248">
          <cell r="D248" t="str">
            <v>BH701ConformanceEHS</v>
          </cell>
          <cell r="E248">
            <v>2</v>
          </cell>
        </row>
        <row r="249">
          <cell r="D249" t="str">
            <v>BH701PriorityEHS</v>
          </cell>
          <cell r="E249">
            <v>0</v>
          </cell>
        </row>
        <row r="250">
          <cell r="D250" t="str">
            <v>BH701MajorEHS</v>
          </cell>
          <cell r="E250">
            <v>0.5</v>
          </cell>
        </row>
        <row r="251">
          <cell r="D251" t="str">
            <v>BH701MinorEHS</v>
          </cell>
          <cell r="E251">
            <v>1</v>
          </cell>
        </row>
        <row r="252">
          <cell r="D252" t="str">
            <v>BH701N/AEHS</v>
          </cell>
          <cell r="E252">
            <v>2</v>
          </cell>
        </row>
        <row r="253">
          <cell r="D253" t="str">
            <v>BH701Risk of NonconformanceEHS</v>
          </cell>
          <cell r="E253">
            <v>2</v>
          </cell>
        </row>
        <row r="254">
          <cell r="D254" t="str">
            <v>BH702ConformanceEHS</v>
          </cell>
          <cell r="E254">
            <v>2</v>
          </cell>
        </row>
        <row r="255">
          <cell r="D255" t="str">
            <v>BH702PriorityEHS</v>
          </cell>
          <cell r="E255">
            <v>0</v>
          </cell>
        </row>
        <row r="256">
          <cell r="D256" t="str">
            <v>BH702MajorEHS</v>
          </cell>
          <cell r="E256">
            <v>0.5</v>
          </cell>
        </row>
        <row r="257">
          <cell r="D257" t="str">
            <v>BH702MinorEHS</v>
          </cell>
          <cell r="E257">
            <v>1</v>
          </cell>
        </row>
        <row r="258">
          <cell r="D258" t="str">
            <v>BH702N/AEHS</v>
          </cell>
          <cell r="E258">
            <v>2</v>
          </cell>
        </row>
        <row r="259">
          <cell r="D259" t="str">
            <v>BH702Risk of NonconformanceEHS</v>
          </cell>
          <cell r="E259">
            <v>2</v>
          </cell>
        </row>
        <row r="260">
          <cell r="D260" t="str">
            <v>BM101ConformanceEHS</v>
          </cell>
          <cell r="E260">
            <v>1</v>
          </cell>
        </row>
        <row r="261">
          <cell r="D261" t="str">
            <v>BM101PriorityEHS</v>
          </cell>
          <cell r="E261">
            <v>0</v>
          </cell>
        </row>
        <row r="262">
          <cell r="D262" t="str">
            <v>BM101MajorEHS</v>
          </cell>
          <cell r="E262">
            <v>0.2</v>
          </cell>
        </row>
        <row r="263">
          <cell r="D263" t="str">
            <v>BM101MinorEHS</v>
          </cell>
          <cell r="E263">
            <v>0.5</v>
          </cell>
        </row>
        <row r="264">
          <cell r="D264" t="str">
            <v>BM101N/AEHS</v>
          </cell>
          <cell r="E264">
            <v>1</v>
          </cell>
        </row>
        <row r="265">
          <cell r="D265" t="str">
            <v>BM101Risk of NonconformanceEHS</v>
          </cell>
          <cell r="E265">
            <v>1</v>
          </cell>
        </row>
        <row r="266">
          <cell r="D266" t="str">
            <v>BM102ConformanceEHS</v>
          </cell>
          <cell r="E266">
            <v>3</v>
          </cell>
        </row>
        <row r="267">
          <cell r="D267" t="str">
            <v>BM102PriorityEHS</v>
          </cell>
          <cell r="E267">
            <v>0</v>
          </cell>
        </row>
        <row r="268">
          <cell r="D268" t="str">
            <v>BM102MajorEHS</v>
          </cell>
          <cell r="E268">
            <v>1</v>
          </cell>
        </row>
        <row r="269">
          <cell r="D269" t="str">
            <v>BM102MinorEHS</v>
          </cell>
          <cell r="E269">
            <v>2</v>
          </cell>
        </row>
        <row r="270">
          <cell r="D270" t="str">
            <v>BM102N/AEHS</v>
          </cell>
          <cell r="E270">
            <v>3</v>
          </cell>
        </row>
        <row r="271">
          <cell r="D271" t="str">
            <v>BM102Risk of NonconformanceEHS</v>
          </cell>
          <cell r="E271">
            <v>3</v>
          </cell>
        </row>
        <row r="272">
          <cell r="D272" t="str">
            <v>BM201ConformanceEHS</v>
          </cell>
          <cell r="E272">
            <v>2</v>
          </cell>
        </row>
        <row r="273">
          <cell r="D273" t="str">
            <v>BM201PriorityEHS</v>
          </cell>
          <cell r="E273">
            <v>0</v>
          </cell>
        </row>
        <row r="274">
          <cell r="D274" t="str">
            <v>BM201MajorEHS</v>
          </cell>
          <cell r="E274">
            <v>0.5</v>
          </cell>
        </row>
        <row r="275">
          <cell r="D275" t="str">
            <v>BM201MinorEHS</v>
          </cell>
          <cell r="E275">
            <v>1</v>
          </cell>
        </row>
        <row r="276">
          <cell r="D276" t="str">
            <v>BM201N/AEHS</v>
          </cell>
          <cell r="E276">
            <v>2</v>
          </cell>
        </row>
        <row r="277">
          <cell r="D277" t="str">
            <v>BM201Risk of NonconformanceEHS</v>
          </cell>
          <cell r="E277">
            <v>2</v>
          </cell>
        </row>
        <row r="278">
          <cell r="D278" t="str">
            <v>BM202ConformanceEHS</v>
          </cell>
          <cell r="E278">
            <v>1</v>
          </cell>
        </row>
        <row r="279">
          <cell r="D279" t="str">
            <v>BM202PriorityEHS</v>
          </cell>
          <cell r="E279">
            <v>0</v>
          </cell>
        </row>
        <row r="280">
          <cell r="D280" t="str">
            <v>BM202MajorEHS</v>
          </cell>
          <cell r="E280">
            <v>0.2</v>
          </cell>
        </row>
        <row r="281">
          <cell r="D281" t="str">
            <v>BM202MinorEHS</v>
          </cell>
          <cell r="E281">
            <v>0.5</v>
          </cell>
        </row>
        <row r="282">
          <cell r="D282" t="str">
            <v>BM202N/AEHS</v>
          </cell>
          <cell r="E282">
            <v>1</v>
          </cell>
        </row>
        <row r="283">
          <cell r="D283" t="str">
            <v>BM202Risk of NonconformanceEHS</v>
          </cell>
          <cell r="E283">
            <v>1</v>
          </cell>
        </row>
        <row r="284">
          <cell r="D284" t="str">
            <v>BM203ConformanceEHS</v>
          </cell>
          <cell r="E284">
            <v>2</v>
          </cell>
        </row>
        <row r="285">
          <cell r="D285" t="str">
            <v>BM203PriorityEHS</v>
          </cell>
          <cell r="E285">
            <v>0</v>
          </cell>
        </row>
        <row r="286">
          <cell r="D286" t="str">
            <v>BM203MajorEHS</v>
          </cell>
          <cell r="E286">
            <v>0.5</v>
          </cell>
        </row>
        <row r="287">
          <cell r="D287" t="str">
            <v>BM203MinorEHS</v>
          </cell>
          <cell r="E287">
            <v>1</v>
          </cell>
        </row>
        <row r="288">
          <cell r="D288" t="str">
            <v>BM203N/AEHS</v>
          </cell>
          <cell r="E288">
            <v>2</v>
          </cell>
        </row>
        <row r="289">
          <cell r="D289" t="str">
            <v>BM203Risk of NonconformanceEHS</v>
          </cell>
          <cell r="E289">
            <v>2</v>
          </cell>
        </row>
        <row r="290">
          <cell r="D290" t="str">
            <v>BM301ConformanceEHS</v>
          </cell>
          <cell r="E290">
            <v>1</v>
          </cell>
        </row>
        <row r="291">
          <cell r="D291" t="str">
            <v>BM301PriorityEHS</v>
          </cell>
          <cell r="E291">
            <v>0</v>
          </cell>
        </row>
        <row r="292">
          <cell r="D292" t="str">
            <v>BM301MajorEHS</v>
          </cell>
          <cell r="E292">
            <v>0.2</v>
          </cell>
        </row>
        <row r="293">
          <cell r="D293" t="str">
            <v>BM301MinorEHS</v>
          </cell>
          <cell r="E293">
            <v>0.5</v>
          </cell>
        </row>
        <row r="294">
          <cell r="D294" t="str">
            <v>BM301N/AEHS</v>
          </cell>
          <cell r="E294">
            <v>1</v>
          </cell>
        </row>
        <row r="295">
          <cell r="D295" t="str">
            <v>BM301Risk of NonconformanceEHS</v>
          </cell>
          <cell r="E295">
            <v>1</v>
          </cell>
        </row>
        <row r="296">
          <cell r="D296" t="str">
            <v>BM302ConformanceEHS</v>
          </cell>
          <cell r="E296">
            <v>1</v>
          </cell>
        </row>
        <row r="297">
          <cell r="D297" t="str">
            <v>BM302PriorityEHS</v>
          </cell>
          <cell r="E297">
            <v>0</v>
          </cell>
        </row>
        <row r="298">
          <cell r="D298" t="str">
            <v>BM302MajorEHS</v>
          </cell>
          <cell r="E298">
            <v>0.2</v>
          </cell>
        </row>
        <row r="299">
          <cell r="D299" t="str">
            <v>BM302MinorEHS</v>
          </cell>
          <cell r="E299">
            <v>0.5</v>
          </cell>
        </row>
        <row r="300">
          <cell r="D300" t="str">
            <v>BM302N/AEHS</v>
          </cell>
          <cell r="E300">
            <v>1</v>
          </cell>
        </row>
        <row r="301">
          <cell r="D301" t="str">
            <v>BM302Risk of NonconformanceEHS</v>
          </cell>
          <cell r="E301">
            <v>1</v>
          </cell>
        </row>
        <row r="302">
          <cell r="D302" t="str">
            <v>BM401ConformanceEHS</v>
          </cell>
          <cell r="E302">
            <v>1</v>
          </cell>
        </row>
        <row r="303">
          <cell r="D303" t="str">
            <v>BM401PriorityEHS</v>
          </cell>
          <cell r="E303">
            <v>0</v>
          </cell>
        </row>
        <row r="304">
          <cell r="D304" t="str">
            <v>BM401MajorEHS</v>
          </cell>
          <cell r="E304">
            <v>0.2</v>
          </cell>
        </row>
        <row r="305">
          <cell r="D305" t="str">
            <v>BM401MinorEHS</v>
          </cell>
          <cell r="E305">
            <v>0.5</v>
          </cell>
        </row>
        <row r="306">
          <cell r="D306" t="str">
            <v>BM401N/AEHS</v>
          </cell>
          <cell r="E306">
            <v>1</v>
          </cell>
        </row>
        <row r="307">
          <cell r="D307" t="str">
            <v>BM401Risk of NonconformanceEHS</v>
          </cell>
          <cell r="E307">
            <v>1</v>
          </cell>
        </row>
        <row r="308">
          <cell r="D308" t="str">
            <v>BM402ConformanceEHS</v>
          </cell>
          <cell r="E308">
            <v>1</v>
          </cell>
        </row>
        <row r="309">
          <cell r="D309" t="str">
            <v>BM402PriorityEHS</v>
          </cell>
          <cell r="E309">
            <v>0</v>
          </cell>
        </row>
        <row r="310">
          <cell r="D310" t="str">
            <v>BM402MajorEHS</v>
          </cell>
          <cell r="E310">
            <v>0.2</v>
          </cell>
        </row>
        <row r="311">
          <cell r="D311" t="str">
            <v>BM402MinorEHS</v>
          </cell>
          <cell r="E311">
            <v>0.5</v>
          </cell>
        </row>
        <row r="312">
          <cell r="D312" t="str">
            <v>BM402N/AEHS</v>
          </cell>
          <cell r="E312">
            <v>1</v>
          </cell>
        </row>
        <row r="313">
          <cell r="D313" t="str">
            <v>BM402Risk of NonconformanceEHS</v>
          </cell>
          <cell r="E313">
            <v>1</v>
          </cell>
        </row>
        <row r="314">
          <cell r="D314" t="str">
            <v>BM403ConformanceEHS</v>
          </cell>
          <cell r="E314">
            <v>1</v>
          </cell>
        </row>
        <row r="315">
          <cell r="D315" t="str">
            <v>BM403PriorityEHS</v>
          </cell>
          <cell r="E315">
            <v>0</v>
          </cell>
        </row>
        <row r="316">
          <cell r="D316" t="str">
            <v>BM403MajorEHS</v>
          </cell>
          <cell r="E316">
            <v>0.2</v>
          </cell>
        </row>
        <row r="317">
          <cell r="D317" t="str">
            <v>BM403MinorEHS</v>
          </cell>
          <cell r="E317">
            <v>0.5</v>
          </cell>
        </row>
        <row r="318">
          <cell r="D318" t="str">
            <v>BM403N/AEHS</v>
          </cell>
          <cell r="E318">
            <v>1</v>
          </cell>
        </row>
        <row r="319">
          <cell r="D319" t="str">
            <v>BM403Risk of NonconformanceEHS</v>
          </cell>
          <cell r="E319">
            <v>1</v>
          </cell>
        </row>
        <row r="320">
          <cell r="D320" t="str">
            <v>CE101ConformanceEHS</v>
          </cell>
          <cell r="E320">
            <v>6</v>
          </cell>
        </row>
        <row r="321">
          <cell r="D321" t="str">
            <v>CE101PriorityEHS</v>
          </cell>
          <cell r="E321">
            <v>0</v>
          </cell>
        </row>
        <row r="322">
          <cell r="D322" t="str">
            <v>CE101MajorEHS</v>
          </cell>
          <cell r="E322">
            <v>2</v>
          </cell>
        </row>
        <row r="323">
          <cell r="D323" t="str">
            <v>CE101MinorEHS</v>
          </cell>
          <cell r="E323">
            <v>4</v>
          </cell>
        </row>
        <row r="324">
          <cell r="D324" t="str">
            <v>CE101N/AEHS</v>
          </cell>
          <cell r="E324">
            <v>6</v>
          </cell>
        </row>
        <row r="325">
          <cell r="D325" t="str">
            <v>CE101Risk of NonconformanceEHS</v>
          </cell>
          <cell r="E325">
            <v>6</v>
          </cell>
        </row>
        <row r="326">
          <cell r="D326" t="str">
            <v>CE201ConformanceEHS</v>
          </cell>
          <cell r="E326">
            <v>5</v>
          </cell>
        </row>
        <row r="327">
          <cell r="D327" t="str">
            <v>CE201PriorityEHS</v>
          </cell>
          <cell r="E327">
            <v>0</v>
          </cell>
        </row>
        <row r="328">
          <cell r="D328" t="str">
            <v>CE201MajorEHS</v>
          </cell>
          <cell r="E328">
            <v>1</v>
          </cell>
        </row>
        <row r="329">
          <cell r="D329" t="str">
            <v>CE201MinorEHS</v>
          </cell>
          <cell r="E329">
            <v>3</v>
          </cell>
        </row>
        <row r="330">
          <cell r="D330" t="str">
            <v>CE201N/AEHS</v>
          </cell>
          <cell r="E330">
            <v>5</v>
          </cell>
        </row>
        <row r="331">
          <cell r="D331" t="str">
            <v>CE201Risk of NonconformanceEHS</v>
          </cell>
          <cell r="E331">
            <v>5</v>
          </cell>
        </row>
        <row r="332">
          <cell r="D332" t="str">
            <v>CE301ConformanceEHS</v>
          </cell>
          <cell r="E332">
            <v>3</v>
          </cell>
        </row>
        <row r="333">
          <cell r="D333" t="str">
            <v>CE301PriorityEHS</v>
          </cell>
          <cell r="E333">
            <v>0</v>
          </cell>
        </row>
        <row r="334">
          <cell r="D334" t="str">
            <v>CE301MajorEHS</v>
          </cell>
          <cell r="E334">
            <v>1</v>
          </cell>
        </row>
        <row r="335">
          <cell r="D335" t="str">
            <v>CE301MinorEHS</v>
          </cell>
          <cell r="E335">
            <v>2</v>
          </cell>
        </row>
        <row r="336">
          <cell r="D336" t="str">
            <v>CE301N/AEHS</v>
          </cell>
          <cell r="E336">
            <v>3</v>
          </cell>
        </row>
        <row r="337">
          <cell r="D337" t="str">
            <v>CE301Risk of NonconformanceEHS</v>
          </cell>
          <cell r="E337">
            <v>3</v>
          </cell>
        </row>
        <row r="338">
          <cell r="D338" t="str">
            <v>CE401ConformanceEHS</v>
          </cell>
          <cell r="E338">
            <v>5</v>
          </cell>
        </row>
        <row r="339">
          <cell r="D339" t="str">
            <v>CE401PriorityEHS</v>
          </cell>
          <cell r="E339">
            <v>0</v>
          </cell>
        </row>
        <row r="340">
          <cell r="D340" t="str">
            <v>CE401MajorEHS</v>
          </cell>
          <cell r="E340">
            <v>1</v>
          </cell>
        </row>
        <row r="341">
          <cell r="D341" t="str">
            <v>CE401MinorEHS</v>
          </cell>
          <cell r="E341">
            <v>3</v>
          </cell>
        </row>
        <row r="342">
          <cell r="D342" t="str">
            <v>CE401N/AEHS</v>
          </cell>
          <cell r="E342">
            <v>5</v>
          </cell>
        </row>
        <row r="343">
          <cell r="D343" t="str">
            <v>CE401Risk of NonconformanceEHS</v>
          </cell>
          <cell r="E343">
            <v>5</v>
          </cell>
        </row>
        <row r="344">
          <cell r="D344" t="str">
            <v>CE402ConformanceEHS</v>
          </cell>
          <cell r="E344">
            <v>1</v>
          </cell>
        </row>
        <row r="345">
          <cell r="D345" t="str">
            <v>CE402PriorityEHS</v>
          </cell>
          <cell r="E345">
            <v>0</v>
          </cell>
        </row>
        <row r="346">
          <cell r="D346" t="str">
            <v>CE402MajorEHS</v>
          </cell>
          <cell r="E346">
            <v>0.2</v>
          </cell>
        </row>
        <row r="347">
          <cell r="D347" t="str">
            <v>CE402MinorEHS</v>
          </cell>
          <cell r="E347">
            <v>0.5</v>
          </cell>
        </row>
        <row r="348">
          <cell r="D348" t="str">
            <v>CE402N/AEHS</v>
          </cell>
          <cell r="E348">
            <v>1</v>
          </cell>
        </row>
        <row r="349">
          <cell r="D349" t="str">
            <v>CE402Risk of NonconformanceEHS</v>
          </cell>
          <cell r="E349">
            <v>1</v>
          </cell>
        </row>
        <row r="350">
          <cell r="D350" t="str">
            <v>CE501ConformanceEHS</v>
          </cell>
          <cell r="E350">
            <v>5</v>
          </cell>
        </row>
        <row r="351">
          <cell r="D351" t="str">
            <v>CE501PriorityEHS</v>
          </cell>
          <cell r="E351">
            <v>0</v>
          </cell>
        </row>
        <row r="352">
          <cell r="D352" t="str">
            <v>CE501MajorEHS</v>
          </cell>
          <cell r="E352">
            <v>1</v>
          </cell>
        </row>
        <row r="353">
          <cell r="D353" t="str">
            <v>CE501MinorEHS</v>
          </cell>
          <cell r="E353">
            <v>3</v>
          </cell>
        </row>
        <row r="354">
          <cell r="D354" t="str">
            <v>CE501N/AEHS</v>
          </cell>
          <cell r="E354">
            <v>5</v>
          </cell>
        </row>
        <row r="355">
          <cell r="D355" t="str">
            <v>CE501Risk of NonconformanceEHS</v>
          </cell>
          <cell r="E355">
            <v>5</v>
          </cell>
        </row>
        <row r="356">
          <cell r="D356" t="str">
            <v>CE601ConformanceEHS</v>
          </cell>
          <cell r="E356">
            <v>3</v>
          </cell>
        </row>
        <row r="357">
          <cell r="D357" t="str">
            <v>CE601PriorityEHS</v>
          </cell>
          <cell r="E357">
            <v>0</v>
          </cell>
        </row>
        <row r="358">
          <cell r="D358" t="str">
            <v>CE601MajorEHS</v>
          </cell>
          <cell r="E358">
            <v>1</v>
          </cell>
        </row>
        <row r="359">
          <cell r="D359" t="str">
            <v>CE601MinorEHS</v>
          </cell>
          <cell r="E359">
            <v>2</v>
          </cell>
        </row>
        <row r="360">
          <cell r="D360" t="str">
            <v>CE601N/AEHS</v>
          </cell>
          <cell r="E360">
            <v>3</v>
          </cell>
        </row>
        <row r="361">
          <cell r="D361" t="str">
            <v>CE601Risk of NonconformanceEHS</v>
          </cell>
          <cell r="E361">
            <v>3</v>
          </cell>
        </row>
        <row r="362">
          <cell r="D362" t="str">
            <v>CM101ConformanceEHS</v>
          </cell>
          <cell r="E362">
            <v>1</v>
          </cell>
        </row>
        <row r="363">
          <cell r="D363" t="str">
            <v>CM101PriorityEHS</v>
          </cell>
          <cell r="E363">
            <v>0</v>
          </cell>
        </row>
        <row r="364">
          <cell r="D364" t="str">
            <v>CM101MajorEHS</v>
          </cell>
          <cell r="E364">
            <v>0.2</v>
          </cell>
        </row>
        <row r="365">
          <cell r="D365" t="str">
            <v>CM101MinorEHS</v>
          </cell>
          <cell r="E365">
            <v>0.5</v>
          </cell>
        </row>
        <row r="366">
          <cell r="D366" t="str">
            <v>CM101N/AEHS</v>
          </cell>
          <cell r="E366">
            <v>1</v>
          </cell>
        </row>
        <row r="367">
          <cell r="D367" t="str">
            <v>CM101Risk of NonconformanceEHS</v>
          </cell>
          <cell r="E367">
            <v>1</v>
          </cell>
        </row>
        <row r="368">
          <cell r="D368" t="str">
            <v>CM102ConformanceEHS</v>
          </cell>
          <cell r="E368">
            <v>2</v>
          </cell>
        </row>
        <row r="369">
          <cell r="D369" t="str">
            <v>CM102PriorityEHS</v>
          </cell>
          <cell r="E369">
            <v>0</v>
          </cell>
        </row>
        <row r="370">
          <cell r="D370" t="str">
            <v>CM102MajorEHS</v>
          </cell>
          <cell r="E370">
            <v>0.5</v>
          </cell>
        </row>
        <row r="371">
          <cell r="D371" t="str">
            <v>CM102MinorEHS</v>
          </cell>
          <cell r="E371">
            <v>1</v>
          </cell>
        </row>
        <row r="372">
          <cell r="D372" t="str">
            <v>CM102N/AEHS</v>
          </cell>
          <cell r="E372">
            <v>2</v>
          </cell>
        </row>
        <row r="373">
          <cell r="D373" t="str">
            <v>CM102Risk of NonconformanceEHS</v>
          </cell>
          <cell r="E373">
            <v>2</v>
          </cell>
        </row>
        <row r="374">
          <cell r="D374" t="str">
            <v>CM201ConformanceEHS</v>
          </cell>
          <cell r="E374">
            <v>1</v>
          </cell>
        </row>
        <row r="375">
          <cell r="D375" t="str">
            <v>CM201PriorityEHS</v>
          </cell>
          <cell r="E375">
            <v>0</v>
          </cell>
        </row>
        <row r="376">
          <cell r="D376" t="str">
            <v>CM201MajorEHS</v>
          </cell>
          <cell r="E376">
            <v>0.2</v>
          </cell>
        </row>
        <row r="377">
          <cell r="D377" t="str">
            <v>CM201MinorEHS</v>
          </cell>
          <cell r="E377">
            <v>0.5</v>
          </cell>
        </row>
        <row r="378">
          <cell r="D378" t="str">
            <v>CM201N/AEHS</v>
          </cell>
          <cell r="E378">
            <v>1</v>
          </cell>
        </row>
        <row r="379">
          <cell r="D379" t="str">
            <v>CM201Risk of NonconformanceEHS</v>
          </cell>
          <cell r="E379">
            <v>1</v>
          </cell>
        </row>
        <row r="380">
          <cell r="D380" t="str">
            <v>CM202ConformanceEHS</v>
          </cell>
          <cell r="E380">
            <v>1</v>
          </cell>
        </row>
        <row r="381">
          <cell r="D381" t="str">
            <v>CM202PriorityEHS</v>
          </cell>
          <cell r="E381">
            <v>0</v>
          </cell>
        </row>
        <row r="382">
          <cell r="D382" t="str">
            <v>CM202MajorEHS</v>
          </cell>
          <cell r="E382">
            <v>0.2</v>
          </cell>
        </row>
        <row r="383">
          <cell r="D383" t="str">
            <v>CM202MinorEHS</v>
          </cell>
          <cell r="E383">
            <v>0.5</v>
          </cell>
        </row>
        <row r="384">
          <cell r="D384" t="str">
            <v>CM202N/AEHS</v>
          </cell>
          <cell r="E384">
            <v>1</v>
          </cell>
        </row>
        <row r="385">
          <cell r="D385" t="str">
            <v>CM202Risk of NonconformanceEHS</v>
          </cell>
          <cell r="E385">
            <v>1</v>
          </cell>
        </row>
        <row r="386">
          <cell r="D386" t="str">
            <v>CM203ConformanceEHS</v>
          </cell>
          <cell r="E386">
            <v>2</v>
          </cell>
        </row>
        <row r="387">
          <cell r="D387" t="str">
            <v>CM203PriorityEHS</v>
          </cell>
          <cell r="E387">
            <v>0</v>
          </cell>
        </row>
        <row r="388">
          <cell r="D388" t="str">
            <v>CM203MajorEHS</v>
          </cell>
          <cell r="E388">
            <v>0.5</v>
          </cell>
        </row>
        <row r="389">
          <cell r="D389" t="str">
            <v>CM203MinorEHS</v>
          </cell>
          <cell r="E389">
            <v>1</v>
          </cell>
        </row>
        <row r="390">
          <cell r="D390" t="str">
            <v>CM203N/AEHS</v>
          </cell>
          <cell r="E390">
            <v>2</v>
          </cell>
        </row>
        <row r="391">
          <cell r="D391" t="str">
            <v>CM203Risk of NonconformanceEHS</v>
          </cell>
          <cell r="E391">
            <v>2</v>
          </cell>
        </row>
        <row r="392">
          <cell r="D392" t="str">
            <v>CM301ConformanceEHS</v>
          </cell>
          <cell r="E392">
            <v>1</v>
          </cell>
        </row>
        <row r="393">
          <cell r="D393" t="str">
            <v>CM301PriorityEHS</v>
          </cell>
          <cell r="E393">
            <v>0</v>
          </cell>
        </row>
        <row r="394">
          <cell r="D394" t="str">
            <v>CM301MajorEHS</v>
          </cell>
          <cell r="E394">
            <v>0.2</v>
          </cell>
        </row>
        <row r="395">
          <cell r="D395" t="str">
            <v>CM301MinorEHS</v>
          </cell>
          <cell r="E395">
            <v>0.5</v>
          </cell>
        </row>
        <row r="396">
          <cell r="D396" t="str">
            <v>CM301N/AEHS</v>
          </cell>
          <cell r="E396">
            <v>1</v>
          </cell>
        </row>
        <row r="397">
          <cell r="D397" t="str">
            <v>CM301Risk of NonconformanceEHS</v>
          </cell>
          <cell r="E397">
            <v>1</v>
          </cell>
        </row>
        <row r="398">
          <cell r="D398" t="str">
            <v>CM302ConformanceEHS</v>
          </cell>
          <cell r="E398">
            <v>1</v>
          </cell>
        </row>
        <row r="399">
          <cell r="D399" t="str">
            <v>CM302PriorityEHS</v>
          </cell>
          <cell r="E399">
            <v>0</v>
          </cell>
        </row>
        <row r="400">
          <cell r="D400" t="str">
            <v>CM302MajorEHS</v>
          </cell>
          <cell r="E400">
            <v>0.2</v>
          </cell>
        </row>
        <row r="401">
          <cell r="D401" t="str">
            <v>CM302MinorEHS</v>
          </cell>
          <cell r="E401">
            <v>0.5</v>
          </cell>
        </row>
        <row r="402">
          <cell r="D402" t="str">
            <v>CM302N/AEHS</v>
          </cell>
          <cell r="E402">
            <v>1</v>
          </cell>
        </row>
        <row r="403">
          <cell r="D403" t="str">
            <v>CM302Risk of NonconformanceEHS</v>
          </cell>
          <cell r="E403">
            <v>1</v>
          </cell>
        </row>
        <row r="404">
          <cell r="D404" t="str">
            <v>CM401ConformanceEHS</v>
          </cell>
          <cell r="E404">
            <v>1</v>
          </cell>
        </row>
        <row r="405">
          <cell r="D405" t="str">
            <v>CM401PriorityEHS</v>
          </cell>
          <cell r="E405">
            <v>0</v>
          </cell>
        </row>
        <row r="406">
          <cell r="D406" t="str">
            <v>CM401MajorEHS</v>
          </cell>
          <cell r="E406">
            <v>0.2</v>
          </cell>
        </row>
        <row r="407">
          <cell r="D407" t="str">
            <v>CM401MinorEHS</v>
          </cell>
          <cell r="E407">
            <v>0.5</v>
          </cell>
        </row>
        <row r="408">
          <cell r="D408" t="str">
            <v>CM401N/AEHS</v>
          </cell>
          <cell r="E408">
            <v>1</v>
          </cell>
        </row>
        <row r="409">
          <cell r="D409" t="str">
            <v>CM401Risk of NonconformanceEHS</v>
          </cell>
          <cell r="E409">
            <v>1</v>
          </cell>
        </row>
        <row r="410">
          <cell r="D410" t="str">
            <v>CM402ConformanceEHS</v>
          </cell>
          <cell r="E410">
            <v>1</v>
          </cell>
        </row>
        <row r="411">
          <cell r="D411" t="str">
            <v>CM402PriorityEHS</v>
          </cell>
          <cell r="E411">
            <v>0</v>
          </cell>
        </row>
        <row r="412">
          <cell r="D412" t="str">
            <v>CM402MajorEHS</v>
          </cell>
          <cell r="E412">
            <v>0.2</v>
          </cell>
        </row>
        <row r="413">
          <cell r="D413" t="str">
            <v>CM402MinorEHS</v>
          </cell>
          <cell r="E413">
            <v>0.5</v>
          </cell>
        </row>
        <row r="414">
          <cell r="D414" t="str">
            <v>CM402N/AEHS</v>
          </cell>
          <cell r="E414">
            <v>1</v>
          </cell>
        </row>
        <row r="415">
          <cell r="D415" t="str">
            <v>CM402Risk of NonconformanceEHS</v>
          </cell>
          <cell r="E415">
            <v>1</v>
          </cell>
        </row>
        <row r="416">
          <cell r="D416" t="str">
            <v>CM403ConformanceEHS</v>
          </cell>
          <cell r="E416">
            <v>1</v>
          </cell>
        </row>
        <row r="417">
          <cell r="D417" t="str">
            <v>CM403PriorityEHS</v>
          </cell>
          <cell r="E417">
            <v>0</v>
          </cell>
        </row>
        <row r="418">
          <cell r="D418" t="str">
            <v>CM403MajorEHS</v>
          </cell>
          <cell r="E418">
            <v>0.2</v>
          </cell>
        </row>
        <row r="419">
          <cell r="D419" t="str">
            <v>CM403MinorEHS</v>
          </cell>
          <cell r="E419">
            <v>0.5</v>
          </cell>
        </row>
        <row r="420">
          <cell r="D420" t="str">
            <v>CM403N/AEHS</v>
          </cell>
          <cell r="E420">
            <v>1</v>
          </cell>
        </row>
        <row r="421">
          <cell r="D421" t="str">
            <v>CM403Risk of NonconformanceEHS</v>
          </cell>
          <cell r="E421">
            <v>1</v>
          </cell>
        </row>
        <row r="422">
          <cell r="D422" t="str">
            <v>DE101ConformanceLabor</v>
          </cell>
          <cell r="E422">
            <v>2</v>
          </cell>
        </row>
        <row r="423">
          <cell r="D423" t="str">
            <v>DE101PriorityLabor</v>
          </cell>
          <cell r="E423">
            <v>0</v>
          </cell>
        </row>
        <row r="424">
          <cell r="D424" t="str">
            <v>DE101MajorLabor</v>
          </cell>
          <cell r="E424">
            <v>0.5</v>
          </cell>
        </row>
        <row r="425">
          <cell r="D425" t="str">
            <v>DE101MinorLabor</v>
          </cell>
          <cell r="E425">
            <v>1</v>
          </cell>
        </row>
        <row r="426">
          <cell r="D426" t="str">
            <v>DE101N/ALabor</v>
          </cell>
          <cell r="E426">
            <v>2</v>
          </cell>
        </row>
        <row r="427">
          <cell r="D427" t="str">
            <v>DE101Risk of NonconformanceLabor</v>
          </cell>
          <cell r="E427">
            <v>2</v>
          </cell>
        </row>
        <row r="428">
          <cell r="D428" t="str">
            <v>DE201ConformanceLabor</v>
          </cell>
          <cell r="E428">
            <v>2</v>
          </cell>
        </row>
        <row r="429">
          <cell r="D429" t="str">
            <v>DE201PriorityLabor</v>
          </cell>
          <cell r="E429">
            <v>0</v>
          </cell>
        </row>
        <row r="430">
          <cell r="D430" t="str">
            <v>DE201MajorLabor</v>
          </cell>
          <cell r="E430">
            <v>0.5</v>
          </cell>
        </row>
        <row r="431">
          <cell r="D431" t="str">
            <v>DE201MinorLabor</v>
          </cell>
          <cell r="E431">
            <v>1</v>
          </cell>
        </row>
        <row r="432">
          <cell r="D432" t="str">
            <v>DE201N/ALabor</v>
          </cell>
          <cell r="E432">
            <v>2</v>
          </cell>
        </row>
        <row r="433">
          <cell r="D433" t="str">
            <v>DE201Risk of NonconformanceLabor</v>
          </cell>
          <cell r="E433">
            <v>2</v>
          </cell>
        </row>
        <row r="434">
          <cell r="D434" t="str">
            <v>DE301ConformanceLabor</v>
          </cell>
          <cell r="E434">
            <v>2</v>
          </cell>
        </row>
        <row r="435">
          <cell r="D435" t="str">
            <v>DE301PriorityLabor</v>
          </cell>
          <cell r="E435">
            <v>0</v>
          </cell>
        </row>
        <row r="436">
          <cell r="D436" t="str">
            <v>DE301MajorLabor</v>
          </cell>
          <cell r="E436">
            <v>0.5</v>
          </cell>
        </row>
        <row r="437">
          <cell r="D437" t="str">
            <v>DE301MinorLabor</v>
          </cell>
          <cell r="E437">
            <v>1</v>
          </cell>
        </row>
        <row r="438">
          <cell r="D438" t="str">
            <v>DE301N/ALabor</v>
          </cell>
          <cell r="E438">
            <v>2</v>
          </cell>
        </row>
        <row r="439">
          <cell r="D439" t="str">
            <v>DE301Risk of NonconformanceLabor</v>
          </cell>
          <cell r="E439">
            <v>2</v>
          </cell>
        </row>
        <row r="440">
          <cell r="D440" t="str">
            <v>DE401ConformanceLabor</v>
          </cell>
          <cell r="E440">
            <v>2</v>
          </cell>
        </row>
        <row r="441">
          <cell r="D441" t="str">
            <v>DE401PriorityLabor</v>
          </cell>
          <cell r="E441">
            <v>0</v>
          </cell>
        </row>
        <row r="442">
          <cell r="D442" t="str">
            <v>DE401MajorLabor</v>
          </cell>
          <cell r="E442">
            <v>0.5</v>
          </cell>
        </row>
        <row r="443">
          <cell r="D443" t="str">
            <v>DE401MinorLabor</v>
          </cell>
          <cell r="E443">
            <v>1</v>
          </cell>
        </row>
        <row r="444">
          <cell r="D444" t="str">
            <v>DE401N/ALabor</v>
          </cell>
          <cell r="E444">
            <v>2</v>
          </cell>
        </row>
        <row r="445">
          <cell r="D445" t="str">
            <v>DE401Risk of NonconformanceLabor</v>
          </cell>
          <cell r="E445">
            <v>2</v>
          </cell>
        </row>
        <row r="446">
          <cell r="D446" t="str">
            <v>DE501ConformanceLabor</v>
          </cell>
          <cell r="E446">
            <v>2</v>
          </cell>
        </row>
        <row r="447">
          <cell r="D447" t="str">
            <v>DE501PriorityLabor</v>
          </cell>
          <cell r="E447">
            <v>0</v>
          </cell>
        </row>
        <row r="448">
          <cell r="D448" t="str">
            <v>DE501MajorLabor</v>
          </cell>
          <cell r="E448">
            <v>0.5</v>
          </cell>
        </row>
        <row r="449">
          <cell r="D449" t="str">
            <v>DE501MinorLabor</v>
          </cell>
          <cell r="E449">
            <v>1</v>
          </cell>
        </row>
        <row r="450">
          <cell r="D450" t="str">
            <v>DE501N/ALabor</v>
          </cell>
          <cell r="E450">
            <v>2</v>
          </cell>
        </row>
        <row r="451">
          <cell r="D451" t="str">
            <v>DE501Risk of NonconformanceLabor</v>
          </cell>
          <cell r="E451">
            <v>2</v>
          </cell>
        </row>
        <row r="452">
          <cell r="D452" t="str">
            <v>DE601ConformanceLabor</v>
          </cell>
          <cell r="E452">
            <v>2</v>
          </cell>
        </row>
        <row r="453">
          <cell r="D453" t="str">
            <v>DE601PriorityLabor</v>
          </cell>
          <cell r="E453">
            <v>0</v>
          </cell>
        </row>
        <row r="454">
          <cell r="D454" t="str">
            <v>DE601MajorLabor</v>
          </cell>
          <cell r="E454">
            <v>0.5</v>
          </cell>
        </row>
        <row r="455">
          <cell r="D455" t="str">
            <v>DE601MinorLabor</v>
          </cell>
          <cell r="E455">
            <v>1</v>
          </cell>
        </row>
        <row r="456">
          <cell r="D456" t="str">
            <v>DE601N/ALabor</v>
          </cell>
          <cell r="E456">
            <v>2</v>
          </cell>
        </row>
        <row r="457">
          <cell r="D457" t="str">
            <v>DE601Risk of NonconformanceLabor</v>
          </cell>
          <cell r="E457">
            <v>2</v>
          </cell>
        </row>
        <row r="458">
          <cell r="D458" t="str">
            <v>DM101ConformanceLabor</v>
          </cell>
          <cell r="E458">
            <v>0.5</v>
          </cell>
        </row>
        <row r="459">
          <cell r="D459" t="str">
            <v>DM101PriorityLabor</v>
          </cell>
          <cell r="E459">
            <v>0</v>
          </cell>
        </row>
        <row r="460">
          <cell r="D460" t="str">
            <v>DM101MajorLabor</v>
          </cell>
          <cell r="E460">
            <v>0.1</v>
          </cell>
        </row>
        <row r="461">
          <cell r="D461" t="str">
            <v>DM101MinorLabor</v>
          </cell>
          <cell r="E461">
            <v>0.3</v>
          </cell>
        </row>
        <row r="462">
          <cell r="D462" t="str">
            <v>DM101N/ALabor</v>
          </cell>
          <cell r="E462">
            <v>0.5</v>
          </cell>
        </row>
        <row r="463">
          <cell r="D463" t="str">
            <v>DM101Risk of NonconformanceLabor</v>
          </cell>
          <cell r="E463">
            <v>0.5</v>
          </cell>
        </row>
        <row r="464">
          <cell r="D464" t="str">
            <v>DM102ConformanceLabor</v>
          </cell>
          <cell r="E464">
            <v>0.5</v>
          </cell>
        </row>
        <row r="465">
          <cell r="D465" t="str">
            <v>DM102PriorityLabor</v>
          </cell>
          <cell r="E465">
            <v>0</v>
          </cell>
        </row>
        <row r="466">
          <cell r="D466" t="str">
            <v>DM102MajorLabor</v>
          </cell>
          <cell r="E466">
            <v>0.1</v>
          </cell>
        </row>
        <row r="467">
          <cell r="D467" t="str">
            <v>DM102MinorLabor</v>
          </cell>
          <cell r="E467">
            <v>0.3</v>
          </cell>
        </row>
        <row r="468">
          <cell r="D468" t="str">
            <v>DM102N/ALabor</v>
          </cell>
          <cell r="E468">
            <v>0.5</v>
          </cell>
        </row>
        <row r="469">
          <cell r="D469" t="str">
            <v>DM102Risk of NonconformanceLabor</v>
          </cell>
          <cell r="E469">
            <v>0.5</v>
          </cell>
        </row>
        <row r="470">
          <cell r="D470" t="str">
            <v>DM201ConformanceLabor</v>
          </cell>
          <cell r="E470">
            <v>0.5</v>
          </cell>
        </row>
        <row r="471">
          <cell r="D471" t="str">
            <v>DM201PriorityLabor</v>
          </cell>
          <cell r="E471">
            <v>0</v>
          </cell>
        </row>
        <row r="472">
          <cell r="D472" t="str">
            <v>DM201MajorLabor</v>
          </cell>
          <cell r="E472">
            <v>0.1</v>
          </cell>
        </row>
        <row r="473">
          <cell r="D473" t="str">
            <v>DM201MinorLabor</v>
          </cell>
          <cell r="E473">
            <v>0.3</v>
          </cell>
        </row>
        <row r="474">
          <cell r="D474" t="str">
            <v>DM201N/ALabor</v>
          </cell>
          <cell r="E474">
            <v>0.5</v>
          </cell>
        </row>
        <row r="475">
          <cell r="D475" t="str">
            <v>DM201Risk of NonconformanceLabor</v>
          </cell>
          <cell r="E475">
            <v>0.5</v>
          </cell>
        </row>
        <row r="476">
          <cell r="D476" t="str">
            <v>DM202ConformanceLabor</v>
          </cell>
          <cell r="E476">
            <v>0.5</v>
          </cell>
        </row>
        <row r="477">
          <cell r="D477" t="str">
            <v>DM202PriorityLabor</v>
          </cell>
          <cell r="E477">
            <v>0</v>
          </cell>
        </row>
        <row r="478">
          <cell r="D478" t="str">
            <v>DM202MajorLabor</v>
          </cell>
          <cell r="E478">
            <v>0.1</v>
          </cell>
        </row>
        <row r="479">
          <cell r="D479" t="str">
            <v>DM202MinorLabor</v>
          </cell>
          <cell r="E479">
            <v>0.3</v>
          </cell>
        </row>
        <row r="480">
          <cell r="D480" t="str">
            <v>DM202N/ALabor</v>
          </cell>
          <cell r="E480">
            <v>0.5</v>
          </cell>
        </row>
        <row r="481">
          <cell r="D481" t="str">
            <v>DM202Risk of NonconformanceLabor</v>
          </cell>
          <cell r="E481">
            <v>0.5</v>
          </cell>
        </row>
        <row r="482">
          <cell r="D482" t="str">
            <v>DM203ConformanceLabor</v>
          </cell>
          <cell r="E482">
            <v>0.5</v>
          </cell>
        </row>
        <row r="483">
          <cell r="D483" t="str">
            <v>DM203PriorityLabor</v>
          </cell>
          <cell r="E483">
            <v>0</v>
          </cell>
        </row>
        <row r="484">
          <cell r="D484" t="str">
            <v>DM203MajorLabor</v>
          </cell>
          <cell r="E484">
            <v>0.1</v>
          </cell>
        </row>
        <row r="485">
          <cell r="D485" t="str">
            <v>DM203MinorLabor</v>
          </cell>
          <cell r="E485">
            <v>0.3</v>
          </cell>
        </row>
        <row r="486">
          <cell r="D486" t="str">
            <v>DM203N/ALabor</v>
          </cell>
          <cell r="E486">
            <v>0.5</v>
          </cell>
        </row>
        <row r="487">
          <cell r="D487" t="str">
            <v>DM203Risk of NonconformanceLabor</v>
          </cell>
          <cell r="E487">
            <v>0.5</v>
          </cell>
        </row>
        <row r="488">
          <cell r="D488" t="str">
            <v>DM301ConformanceLabor</v>
          </cell>
          <cell r="E488">
            <v>0.5</v>
          </cell>
        </row>
        <row r="489">
          <cell r="D489" t="str">
            <v>DM301PriorityLabor</v>
          </cell>
          <cell r="E489">
            <v>0</v>
          </cell>
        </row>
        <row r="490">
          <cell r="D490" t="str">
            <v>DM301MajorLabor</v>
          </cell>
          <cell r="E490">
            <v>0.1</v>
          </cell>
        </row>
        <row r="491">
          <cell r="D491" t="str">
            <v>DM301MinorLabor</v>
          </cell>
          <cell r="E491">
            <v>0.3</v>
          </cell>
        </row>
        <row r="492">
          <cell r="D492" t="str">
            <v>DM301N/ALabor</v>
          </cell>
          <cell r="E492">
            <v>0.5</v>
          </cell>
        </row>
        <row r="493">
          <cell r="D493" t="str">
            <v>DM301Risk of NonconformanceLabor</v>
          </cell>
          <cell r="E493">
            <v>0.5</v>
          </cell>
        </row>
        <row r="494">
          <cell r="D494" t="str">
            <v>DM302ConformanceLabor</v>
          </cell>
          <cell r="E494">
            <v>0.5</v>
          </cell>
        </row>
        <row r="495">
          <cell r="D495" t="str">
            <v>DM302PriorityLabor</v>
          </cell>
          <cell r="E495">
            <v>0</v>
          </cell>
        </row>
        <row r="496">
          <cell r="D496" t="str">
            <v>DM302MajorLabor</v>
          </cell>
          <cell r="E496">
            <v>0.1</v>
          </cell>
        </row>
        <row r="497">
          <cell r="D497" t="str">
            <v>DM302MinorLabor</v>
          </cell>
          <cell r="E497">
            <v>0.3</v>
          </cell>
        </row>
        <row r="498">
          <cell r="D498" t="str">
            <v>DM302N/ALabor</v>
          </cell>
          <cell r="E498">
            <v>0.5</v>
          </cell>
        </row>
        <row r="499">
          <cell r="D499" t="str">
            <v>DM302Risk of NonconformanceLabor</v>
          </cell>
          <cell r="E499">
            <v>0.5</v>
          </cell>
        </row>
        <row r="500">
          <cell r="D500" t="str">
            <v>DM401ConformanceLabor</v>
          </cell>
          <cell r="E500">
            <v>0.5</v>
          </cell>
        </row>
        <row r="501">
          <cell r="D501" t="str">
            <v>DM401PriorityLabor</v>
          </cell>
          <cell r="E501">
            <v>0</v>
          </cell>
        </row>
        <row r="502">
          <cell r="D502" t="str">
            <v>DM401MajorLabor</v>
          </cell>
          <cell r="E502">
            <v>0.1</v>
          </cell>
        </row>
        <row r="503">
          <cell r="D503" t="str">
            <v>DM401MinorLabor</v>
          </cell>
          <cell r="E503">
            <v>0.3</v>
          </cell>
        </row>
        <row r="504">
          <cell r="D504" t="str">
            <v>DM401N/ALabor</v>
          </cell>
          <cell r="E504">
            <v>0.5</v>
          </cell>
        </row>
        <row r="505">
          <cell r="D505" t="str">
            <v>DM401Risk of NonconformanceLabor</v>
          </cell>
          <cell r="E505">
            <v>0.5</v>
          </cell>
        </row>
        <row r="506">
          <cell r="D506" t="str">
            <v>DM402ConformanceLabor</v>
          </cell>
          <cell r="E506">
            <v>0.5</v>
          </cell>
        </row>
        <row r="507">
          <cell r="D507" t="str">
            <v>DM402PriorityLabor</v>
          </cell>
          <cell r="E507">
            <v>0</v>
          </cell>
        </row>
        <row r="508">
          <cell r="D508" t="str">
            <v>DM402MajorLabor</v>
          </cell>
          <cell r="E508">
            <v>0.1</v>
          </cell>
        </row>
        <row r="509">
          <cell r="D509" t="str">
            <v>DM402MinorLabor</v>
          </cell>
          <cell r="E509">
            <v>0.3</v>
          </cell>
        </row>
        <row r="510">
          <cell r="D510" t="str">
            <v>DM402N/ALabor</v>
          </cell>
          <cell r="E510">
            <v>0.5</v>
          </cell>
        </row>
        <row r="511">
          <cell r="D511" t="str">
            <v>DM402Risk of NonconformanceLabor</v>
          </cell>
          <cell r="E511">
            <v>0.5</v>
          </cell>
        </row>
        <row r="512">
          <cell r="D512" t="str">
            <v>DM403ConformanceLabor</v>
          </cell>
          <cell r="E512">
            <v>0.5</v>
          </cell>
        </row>
        <row r="513">
          <cell r="D513" t="str">
            <v>DM403PriorityLabor</v>
          </cell>
          <cell r="E513">
            <v>0</v>
          </cell>
        </row>
        <row r="514">
          <cell r="D514" t="str">
            <v>DM403MajorLabor</v>
          </cell>
          <cell r="E514">
            <v>0.1</v>
          </cell>
        </row>
        <row r="515">
          <cell r="D515" t="str">
            <v>DM403MinorLabor</v>
          </cell>
          <cell r="E515">
            <v>0.3</v>
          </cell>
        </row>
        <row r="516">
          <cell r="D516" t="str">
            <v>DM403N/ALabor</v>
          </cell>
          <cell r="E516">
            <v>0.5</v>
          </cell>
        </row>
        <row r="517">
          <cell r="D517" t="str">
            <v>DM403Risk of NonconformanceLabor</v>
          </cell>
          <cell r="E517">
            <v>0.5</v>
          </cell>
        </row>
        <row r="518">
          <cell r="D518" t="str">
            <v>ES101ConformanceLabor</v>
          </cell>
          <cell r="E518">
            <v>1</v>
          </cell>
        </row>
        <row r="519">
          <cell r="D519" t="str">
            <v>ES101PriorityLabor</v>
          </cell>
          <cell r="E519">
            <v>0</v>
          </cell>
        </row>
        <row r="520">
          <cell r="D520" t="str">
            <v>ES101MajorLabor</v>
          </cell>
          <cell r="E520">
            <v>0.2</v>
          </cell>
        </row>
        <row r="521">
          <cell r="D521" t="str">
            <v>ES101MinorLabor</v>
          </cell>
          <cell r="E521">
            <v>0.5</v>
          </cell>
        </row>
        <row r="522">
          <cell r="D522" t="str">
            <v>ES101N/ALabor</v>
          </cell>
          <cell r="E522">
            <v>1</v>
          </cell>
        </row>
        <row r="523">
          <cell r="D523" t="str">
            <v>ES101Risk of NonconformanceLabor</v>
          </cell>
          <cell r="E523">
            <v>1</v>
          </cell>
        </row>
        <row r="524">
          <cell r="D524" t="str">
            <v>ES201ConformanceLabor</v>
          </cell>
          <cell r="E524">
            <v>1</v>
          </cell>
        </row>
        <row r="525">
          <cell r="D525" t="str">
            <v>ES201PriorityLabor</v>
          </cell>
          <cell r="E525">
            <v>0</v>
          </cell>
        </row>
        <row r="526">
          <cell r="D526" t="str">
            <v>ES201MajorLabor</v>
          </cell>
          <cell r="E526">
            <v>0.2</v>
          </cell>
        </row>
        <row r="527">
          <cell r="D527" t="str">
            <v>ES201MinorLabor</v>
          </cell>
          <cell r="E527">
            <v>0.5</v>
          </cell>
        </row>
        <row r="528">
          <cell r="D528" t="str">
            <v>ES201N/ALabor</v>
          </cell>
          <cell r="E528">
            <v>1</v>
          </cell>
        </row>
        <row r="529">
          <cell r="D529" t="str">
            <v>ES201Risk of NonconformanceLabor</v>
          </cell>
          <cell r="E529">
            <v>1</v>
          </cell>
        </row>
        <row r="530">
          <cell r="D530" t="str">
            <v>ES301ConformanceLabor</v>
          </cell>
          <cell r="E530">
            <v>1</v>
          </cell>
        </row>
        <row r="531">
          <cell r="D531" t="str">
            <v>ES301PriorityLabor</v>
          </cell>
          <cell r="E531">
            <v>0</v>
          </cell>
        </row>
        <row r="532">
          <cell r="D532" t="str">
            <v>ES301MajorLabor</v>
          </cell>
          <cell r="E532">
            <v>0.2</v>
          </cell>
        </row>
        <row r="533">
          <cell r="D533" t="str">
            <v>ES301MinorLabor</v>
          </cell>
          <cell r="E533">
            <v>0.5</v>
          </cell>
        </row>
        <row r="534">
          <cell r="D534" t="str">
            <v>ES301N/ALabor</v>
          </cell>
          <cell r="E534">
            <v>1</v>
          </cell>
        </row>
        <row r="535">
          <cell r="D535" t="str">
            <v>ES301Risk of NonconformanceLabor</v>
          </cell>
          <cell r="E535">
            <v>1</v>
          </cell>
        </row>
        <row r="536">
          <cell r="D536" t="str">
            <v>ES401ConformanceLabor</v>
          </cell>
          <cell r="E536">
            <v>2</v>
          </cell>
        </row>
        <row r="537">
          <cell r="D537" t="str">
            <v>ES401PriorityLabor</v>
          </cell>
          <cell r="E537">
            <v>0</v>
          </cell>
        </row>
        <row r="538">
          <cell r="D538" t="str">
            <v>ES401MajorLabor</v>
          </cell>
          <cell r="E538">
            <v>0.5</v>
          </cell>
        </row>
        <row r="539">
          <cell r="D539" t="str">
            <v>ES401MinorLabor</v>
          </cell>
          <cell r="E539">
            <v>1</v>
          </cell>
        </row>
        <row r="540">
          <cell r="D540" t="str">
            <v>ES401N/ALabor</v>
          </cell>
          <cell r="E540">
            <v>2</v>
          </cell>
        </row>
        <row r="541">
          <cell r="D541" t="str">
            <v>ES401Risk of NonconformanceLabor</v>
          </cell>
          <cell r="E541">
            <v>2</v>
          </cell>
        </row>
        <row r="542">
          <cell r="D542" t="str">
            <v>ES402ConformanceLabor</v>
          </cell>
          <cell r="E542">
            <v>1</v>
          </cell>
        </row>
        <row r="543">
          <cell r="D543" t="str">
            <v>ES402PriorityLabor</v>
          </cell>
          <cell r="E543">
            <v>0</v>
          </cell>
        </row>
        <row r="544">
          <cell r="D544" t="str">
            <v>ES402MajorLabor</v>
          </cell>
          <cell r="E544">
            <v>0.2</v>
          </cell>
        </row>
        <row r="545">
          <cell r="D545" t="str">
            <v>ES402MinorLabor</v>
          </cell>
          <cell r="E545">
            <v>0.5</v>
          </cell>
        </row>
        <row r="546">
          <cell r="D546" t="str">
            <v>ES402N/ALabor</v>
          </cell>
          <cell r="E546">
            <v>1</v>
          </cell>
        </row>
        <row r="547">
          <cell r="D547" t="str">
            <v>ES402Risk of NonconformanceLabor</v>
          </cell>
          <cell r="E547">
            <v>1</v>
          </cell>
        </row>
        <row r="548">
          <cell r="D548" t="str">
            <v>ES403ConformanceLabor</v>
          </cell>
          <cell r="E548">
            <v>2</v>
          </cell>
        </row>
        <row r="549">
          <cell r="D549" t="str">
            <v>ES403PriorityLabor</v>
          </cell>
          <cell r="E549">
            <v>0</v>
          </cell>
        </row>
        <row r="550">
          <cell r="D550" t="str">
            <v>ES403MajorLabor</v>
          </cell>
          <cell r="E550">
            <v>0.5</v>
          </cell>
        </row>
        <row r="551">
          <cell r="D551" t="str">
            <v>ES403MinorLabor</v>
          </cell>
          <cell r="E551">
            <v>1</v>
          </cell>
        </row>
        <row r="552">
          <cell r="D552" t="str">
            <v>ES403N/ALabor</v>
          </cell>
          <cell r="E552">
            <v>2</v>
          </cell>
        </row>
        <row r="553">
          <cell r="D553" t="str">
            <v>ES403Risk of NonconformanceLabor</v>
          </cell>
          <cell r="E553">
            <v>2</v>
          </cell>
        </row>
        <row r="554">
          <cell r="D554" t="str">
            <v>ES404ConformanceLabor</v>
          </cell>
          <cell r="E554">
            <v>2</v>
          </cell>
        </row>
        <row r="555">
          <cell r="D555" t="str">
            <v>ES404PriorityLabor</v>
          </cell>
          <cell r="E555">
            <v>0</v>
          </cell>
        </row>
        <row r="556">
          <cell r="D556" t="str">
            <v>ES404MajorLabor</v>
          </cell>
          <cell r="E556">
            <v>0.5</v>
          </cell>
        </row>
        <row r="557">
          <cell r="D557" t="str">
            <v>ES404MinorLabor</v>
          </cell>
          <cell r="E557">
            <v>1</v>
          </cell>
        </row>
        <row r="558">
          <cell r="D558" t="str">
            <v>ES404N/ALabor</v>
          </cell>
          <cell r="E558">
            <v>2</v>
          </cell>
        </row>
        <row r="559">
          <cell r="D559" t="str">
            <v>ES404Risk of NonconformanceLabor</v>
          </cell>
          <cell r="E559">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15"/>
  <sheetViews>
    <sheetView showGridLines="0" view="pageBreakPreview" zoomScale="50" zoomScaleNormal="50" zoomScaleSheetLayoutView="50" workbookViewId="0">
      <selection activeCell="F11" sqref="F11"/>
    </sheetView>
  </sheetViews>
  <sheetFormatPr baseColWidth="8" defaultRowHeight="14.4"/>
  <cols>
    <col width="22.5546875" customWidth="1" style="191" min="1" max="1"/>
    <col width="19.6640625" customWidth="1" style="191" min="2" max="2"/>
    <col width="19.109375" customWidth="1" style="191" min="3" max="5"/>
    <col width="48.88671875" customWidth="1" style="191" min="6" max="6"/>
    <col width="22.5546875" customWidth="1" style="191" min="7" max="7"/>
    <col width="20.5546875" customWidth="1" style="191" min="8" max="8"/>
    <col width="27.88671875" customWidth="1" style="191" min="12" max="12"/>
  </cols>
  <sheetData>
    <row r="1" ht="103.2" customHeight="1" s="191">
      <c r="A1" s="156" t="inlineStr">
        <is>
          <t>COMPANY PROFILE</t>
        </is>
      </c>
      <c r="B1" s="192" t="n"/>
      <c r="C1" s="192" t="n"/>
      <c r="D1" s="192" t="n"/>
      <c r="E1" s="192" t="n"/>
      <c r="F1" s="192" t="n"/>
      <c r="G1" s="192" t="n"/>
      <c r="H1" s="193" t="n"/>
    </row>
    <row r="2" ht="74.40000000000001" customHeight="1" s="191">
      <c r="A2" s="159" t="inlineStr">
        <is>
          <t>Company</t>
        </is>
      </c>
      <c r="B2" s="157" t="n"/>
      <c r="C2" s="192" t="n"/>
      <c r="D2" s="192" t="n"/>
      <c r="E2" s="193" t="n"/>
      <c r="F2" s="120" t="inlineStr">
        <is>
          <t>Percentage of dealing with SEV/T in 2025</t>
        </is>
      </c>
      <c r="G2" s="158" t="n"/>
      <c r="H2" s="193" t="n"/>
      <c r="L2" s="135" t="n"/>
    </row>
    <row r="3" ht="45" customHeight="1" s="191">
      <c r="A3" s="159" t="inlineStr">
        <is>
          <t>CEO</t>
        </is>
      </c>
      <c r="B3" s="121" t="inlineStr">
        <is>
          <t>Full name</t>
        </is>
      </c>
      <c r="C3" s="145" t="n"/>
      <c r="D3" s="192" t="n"/>
      <c r="E3" s="193" t="n"/>
      <c r="F3" s="122" t="inlineStr">
        <is>
          <t>Total Sales amount in 2025</t>
        </is>
      </c>
      <c r="G3" s="194" t="n"/>
      <c r="H3" s="195" t="inlineStr">
        <is>
          <t>USD</t>
        </is>
      </c>
      <c r="L3" s="135" t="n"/>
    </row>
    <row r="4" ht="45" customHeight="1" s="191">
      <c r="A4" s="196" t="n"/>
      <c r="B4" s="121" t="inlineStr">
        <is>
          <t>Email</t>
        </is>
      </c>
      <c r="C4" s="160" t="n"/>
      <c r="D4" s="192" t="n"/>
      <c r="E4" s="193" t="n"/>
      <c r="F4" s="162" t="inlineStr">
        <is>
          <t>Manpower</t>
        </is>
      </c>
      <c r="G4" s="146" t="inlineStr">
        <is>
          <t>Product:</t>
        </is>
      </c>
      <c r="H4" s="197" t="n"/>
      <c r="L4" s="135" t="n"/>
    </row>
    <row r="5" ht="45" customHeight="1" s="191">
      <c r="A5" s="198" t="n"/>
      <c r="B5" s="121" t="inlineStr">
        <is>
          <t xml:space="preserve">Handphone </t>
        </is>
      </c>
      <c r="C5" s="163" t="n"/>
      <c r="D5" s="192" t="n"/>
      <c r="E5" s="193" t="n"/>
      <c r="F5" s="198" t="n"/>
      <c r="G5" s="146" t="inlineStr">
        <is>
          <t xml:space="preserve">Office: </t>
        </is>
      </c>
      <c r="H5" s="197" t="n"/>
    </row>
    <row r="6" ht="45" customHeight="1" s="191">
      <c r="A6" s="159" t="inlineStr">
        <is>
          <t>HR Manager</t>
        </is>
      </c>
      <c r="B6" s="121" t="inlineStr">
        <is>
          <t>Full name</t>
        </is>
      </c>
      <c r="C6" s="145" t="n"/>
      <c r="D6" s="192" t="n"/>
      <c r="E6" s="193" t="n"/>
      <c r="F6" s="162" t="inlineStr">
        <is>
          <t xml:space="preserve">
Constitution of workers
</t>
        </is>
      </c>
      <c r="G6" s="146" t="inlineStr">
        <is>
          <t>Regular:</t>
        </is>
      </c>
      <c r="H6" s="197" t="n"/>
    </row>
    <row r="7" ht="45" customHeight="1" s="191">
      <c r="A7" s="196" t="n"/>
      <c r="B7" s="121" t="inlineStr">
        <is>
          <t xml:space="preserve">Email </t>
        </is>
      </c>
      <c r="C7" s="164" t="n"/>
      <c r="D7" s="192" t="n"/>
      <c r="E7" s="193" t="n"/>
      <c r="F7" s="198" t="n"/>
      <c r="G7" s="146" t="inlineStr">
        <is>
          <t xml:space="preserve">Outsourced: </t>
        </is>
      </c>
      <c r="H7" s="197" t="n"/>
    </row>
    <row r="8" ht="45" customHeight="1" s="191">
      <c r="A8" s="198" t="n"/>
      <c r="B8" s="121" t="inlineStr">
        <is>
          <t xml:space="preserve">Handphone </t>
        </is>
      </c>
      <c r="C8" s="163" t="n"/>
      <c r="D8" s="192" t="n"/>
      <c r="E8" s="193" t="n"/>
      <c r="F8" s="146" t="inlineStr">
        <is>
          <t>Investor</t>
        </is>
      </c>
      <c r="G8" s="146" t="n"/>
      <c r="H8" s="193" t="n"/>
    </row>
    <row r="9" ht="45" customHeight="1" s="191">
      <c r="A9" s="125" t="inlineStr">
        <is>
          <t>Location</t>
        </is>
      </c>
      <c r="B9" s="145" t="n"/>
      <c r="C9" s="192" t="n"/>
      <c r="D9" s="192" t="n"/>
      <c r="E9" s="193" t="n"/>
      <c r="F9" s="146" t="inlineStr">
        <is>
          <t>Product</t>
        </is>
      </c>
      <c r="G9" s="146" t="n"/>
      <c r="H9" s="193" t="n"/>
    </row>
    <row r="10" ht="35.25" customHeight="1" s="191">
      <c r="A10" s="199" t="inlineStr">
        <is>
          <t>Result</t>
        </is>
      </c>
      <c r="B10" s="200" t="inlineStr">
        <is>
          <t>Conformance rate:</t>
        </is>
      </c>
      <c r="C10" s="201" t="n"/>
      <c r="D10" s="201" t="n"/>
      <c r="E10" s="202" t="n"/>
      <c r="F10" s="126" t="inlineStr">
        <is>
          <t>Interview Score</t>
        </is>
      </c>
      <c r="G10" s="152" t="inlineStr">
        <is>
          <t xml:space="preserve">Audit Date:  </t>
        </is>
      </c>
      <c r="H10" s="193" t="n"/>
    </row>
    <row r="11" ht="35.25" customHeight="1" s="191">
      <c r="A11" s="198" t="n"/>
      <c r="B11" s="154">
        <f>Checklist!J1</f>
        <v/>
      </c>
      <c r="C11" s="192" t="n"/>
      <c r="D11" s="192" t="n"/>
      <c r="E11" s="193" t="n"/>
      <c r="F11" s="203" t="n"/>
      <c r="G11" s="204">
        <f>Checklist!D1</f>
        <v/>
      </c>
      <c r="H11" s="193" t="n"/>
    </row>
    <row r="12" ht="40.95" customHeight="1" s="191">
      <c r="A12" s="144" t="inlineStr">
        <is>
          <t>Samsung Viet Nam</t>
        </is>
      </c>
      <c r="F12" s="144" t="inlineStr">
        <is>
          <t>Supplier</t>
        </is>
      </c>
    </row>
    <row r="13" ht="40.95" customHeight="1" s="191">
      <c r="A13" s="128" t="n"/>
      <c r="B13" s="129" t="n"/>
      <c r="C13" s="129" t="n"/>
      <c r="D13" s="129" t="n"/>
      <c r="E13" s="129" t="n"/>
      <c r="F13" s="130" t="n"/>
      <c r="G13" s="131" t="n"/>
      <c r="H13" s="131" t="n"/>
    </row>
    <row r="14" ht="31.2" customHeight="1" s="191">
      <c r="A14" s="128" t="n"/>
      <c r="B14" s="128" t="n"/>
      <c r="C14" s="128" t="n"/>
      <c r="D14" s="128" t="n"/>
      <c r="E14" s="128" t="n"/>
      <c r="F14" s="130" t="n"/>
      <c r="G14" s="130" t="n"/>
      <c r="H14" s="130" t="n"/>
    </row>
    <row r="15" ht="24.6" customHeight="1" s="191">
      <c r="A15" s="132" t="n"/>
      <c r="B15" s="133" t="inlineStr">
        <is>
          <t>Auditor:</t>
        </is>
      </c>
      <c r="C15" s="134">
        <f>'General Information'!D6</f>
        <v/>
      </c>
      <c r="D15" s="132" t="n"/>
      <c r="E15" s="132" t="n"/>
      <c r="F15" s="144" t="inlineStr">
        <is>
          <t>Vendor' Representative</t>
        </is>
      </c>
    </row>
  </sheetData>
  <mergeCells count="24">
    <mergeCell ref="B9:E9"/>
    <mergeCell ref="G2:H2"/>
    <mergeCell ref="G11:H11"/>
    <mergeCell ref="A1:H1"/>
    <mergeCell ref="G8:H8"/>
    <mergeCell ref="G9:H9"/>
    <mergeCell ref="G10:H10"/>
    <mergeCell ref="C8:E8"/>
    <mergeCell ref="C7:E7"/>
    <mergeCell ref="A12:E12"/>
    <mergeCell ref="C3:E3"/>
    <mergeCell ref="B11:E11"/>
    <mergeCell ref="B2:E2"/>
    <mergeCell ref="A10:A11"/>
    <mergeCell ref="A6:A8"/>
    <mergeCell ref="C6:E6"/>
    <mergeCell ref="C5:E5"/>
    <mergeCell ref="F4:F5"/>
    <mergeCell ref="A3:A5"/>
    <mergeCell ref="C4:E4"/>
    <mergeCell ref="F12:H12"/>
    <mergeCell ref="B10:E10"/>
    <mergeCell ref="F15:H15"/>
    <mergeCell ref="F6:F7"/>
  </mergeCells>
  <printOptions horizontalCentered="1"/>
  <pageMargins left="0.5" right="0.5" top="0.5" bottom="0.5" header="0" footer="0"/>
  <pageSetup orientation="landscape" paperSize="9" scale="70"/>
  <drawing xmlns:r="http://schemas.openxmlformats.org/officeDocument/2006/relationships" r:id="rId1"/>
</worksheet>
</file>

<file path=xl/worksheets/sheet2.xml><?xml version="1.0" encoding="utf-8"?>
<worksheet xmlns="http://schemas.openxmlformats.org/spreadsheetml/2006/main">
  <sheetPr codeName="Sheet9">
    <tabColor rgb="FFFFFF00"/>
    <outlinePr summaryBelow="1" summaryRight="1"/>
    <pageSetUpPr/>
  </sheetPr>
  <dimension ref="B2:D31"/>
  <sheetViews>
    <sheetView showGridLines="0" zoomScale="85" zoomScaleNormal="85" workbookViewId="0">
      <selection activeCell="I20" sqref="I20"/>
    </sheetView>
  </sheetViews>
  <sheetFormatPr baseColWidth="8" defaultRowHeight="14.4"/>
  <cols>
    <col width="8.88671875" customWidth="1" style="191" min="1" max="1"/>
    <col width="27.33203125" bestFit="1" customWidth="1" style="191" min="2" max="2"/>
    <col width="56.33203125" customWidth="1" style="191" min="3" max="3"/>
    <col width="60.33203125" customWidth="1" style="191" min="4" max="4"/>
  </cols>
  <sheetData>
    <row r="2" ht="27" customFormat="1" customHeight="1" s="50">
      <c r="B2" s="167" t="inlineStr">
        <is>
          <t>General Information</t>
        </is>
      </c>
      <c r="D2" s="49" t="n"/>
    </row>
    <row r="3">
      <c r="B3" s="166" t="inlineStr">
        <is>
          <t>Supplier Name</t>
        </is>
      </c>
      <c r="C3" s="193" t="n"/>
      <c r="D3" s="51" t="n"/>
    </row>
    <row r="4">
      <c r="B4" s="166" t="inlineStr">
        <is>
          <t>Supplier Address</t>
        </is>
      </c>
      <c r="C4" s="193" t="n"/>
      <c r="D4" s="51" t="n"/>
    </row>
    <row r="5">
      <c r="B5" s="166" t="inlineStr">
        <is>
          <t>Audit Crieria / 심사기준</t>
        </is>
      </c>
      <c r="C5" s="193" t="n"/>
      <c r="D5" s="51" t="n"/>
    </row>
    <row r="6">
      <c r="B6" s="166" t="inlineStr">
        <is>
          <t>Team Leader / 심사팀장</t>
        </is>
      </c>
      <c r="C6" s="193" t="n"/>
      <c r="D6" s="51" t="n"/>
    </row>
    <row r="7">
      <c r="B7" s="166" t="inlineStr">
        <is>
          <t>Team Member / 심사원</t>
        </is>
      </c>
      <c r="C7" s="193" t="n"/>
      <c r="D7" s="51" t="n"/>
    </row>
    <row r="8">
      <c r="B8" s="166" t="inlineStr">
        <is>
          <t>Audit Type / 심사 형태</t>
        </is>
      </c>
      <c r="C8" s="193" t="n"/>
      <c r="D8" s="52" t="n"/>
    </row>
    <row r="9">
      <c r="B9" s="166" t="inlineStr">
        <is>
          <t>Starting Date of Initial Audit (YYYY-MM-DD) / 초기심사 시작일자(년월일)</t>
        </is>
      </c>
      <c r="C9" s="193" t="n"/>
      <c r="D9" s="205" t="n"/>
    </row>
    <row r="10">
      <c r="B10" s="166" t="inlineStr">
        <is>
          <t>Closing Date of Initial Audit (YYYY-MM-DD) / 초기심사 마지막일자(년월일)</t>
        </is>
      </c>
      <c r="C10" s="193" t="n"/>
      <c r="D10" s="205" t="n"/>
    </row>
    <row r="11">
      <c r="B11" s="166" t="inlineStr">
        <is>
          <t>Closing Date of Corrective Action Verification Audit (YYYY-MM-DD) / 확인심사 마지막일자(년월일)</t>
        </is>
      </c>
      <c r="C11" s="193" t="n"/>
      <c r="D11" s="205" t="n"/>
    </row>
    <row r="12">
      <c r="B12" s="166" t="inlineStr">
        <is>
          <t>Profile / 프로파일</t>
        </is>
      </c>
      <c r="C12" s="166" t="inlineStr">
        <is>
          <t>Main Process / 주요 활동</t>
        </is>
      </c>
      <c r="D12" s="51" t="n"/>
    </row>
    <row r="13" ht="15" customHeight="1" s="191" thickBot="1">
      <c r="B13" s="198" t="n"/>
      <c r="C13" s="169" t="inlineStr">
        <is>
          <t>Product / 생산제품</t>
        </is>
      </c>
      <c r="D13" s="55" t="n"/>
    </row>
    <row r="14" ht="15" customHeight="1" s="191" thickTop="1">
      <c r="B14" s="165" t="inlineStr">
        <is>
          <t>Contact Information / 담당자</t>
        </is>
      </c>
      <c r="C14" s="165" t="inlineStr">
        <is>
          <t>Name of Management Representative / 경영자 대리인 성명</t>
        </is>
      </c>
      <c r="D14" s="57" t="n"/>
    </row>
    <row r="15">
      <c r="B15" s="196" t="n"/>
      <c r="C15" s="166" t="inlineStr">
        <is>
          <t>Position of Management Representative / 경영자 대리인 직책</t>
        </is>
      </c>
      <c r="D15" s="51" t="n"/>
    </row>
    <row r="16">
      <c r="B16" s="196" t="n"/>
      <c r="C16" s="166" t="inlineStr">
        <is>
          <t>Main Contact / 주담당자명</t>
        </is>
      </c>
      <c r="D16" s="51" t="n"/>
    </row>
    <row r="17">
      <c r="B17" s="198" t="n"/>
      <c r="C17" s="166" t="inlineStr">
        <is>
          <t>Main Contact Position / 직책</t>
        </is>
      </c>
      <c r="D17" s="51" t="n"/>
    </row>
    <row r="18">
      <c r="B18" s="170" t="inlineStr">
        <is>
          <t>Worker Type / 근로자 형태</t>
        </is>
      </c>
      <c r="C18" s="170" t="inlineStr">
        <is>
          <t>Total Number of Workers / 총 근로자수</t>
        </is>
      </c>
      <c r="D18" s="59" t="n"/>
    </row>
    <row r="19">
      <c r="B19" s="196" t="n"/>
      <c r="C19" s="166" t="inlineStr">
        <is>
          <t>Permanent (Number) / 정규직</t>
        </is>
      </c>
      <c r="D19" s="51" t="n"/>
    </row>
    <row r="20">
      <c r="B20" s="196" t="n"/>
      <c r="C20" s="166" t="inlineStr">
        <is>
          <t>Temperary (Number)  / 비정규직</t>
        </is>
      </c>
      <c r="D20" s="51" t="n"/>
    </row>
    <row r="21">
      <c r="B21" s="196" t="n"/>
      <c r="C21" s="166" t="inlineStr">
        <is>
          <t>Foreign (Number)  / 외국인</t>
        </is>
      </c>
      <c r="D21" s="51" t="n"/>
    </row>
    <row r="22">
      <c r="B22" s="196" t="n"/>
      <c r="C22" s="166" t="inlineStr">
        <is>
          <t>Juvenile (Number) / 청소년</t>
        </is>
      </c>
      <c r="D22" s="51" t="n"/>
    </row>
    <row r="23">
      <c r="B23" s="196" t="n"/>
      <c r="C23" s="166" t="inlineStr">
        <is>
          <t>Child (Number) / 아동</t>
        </is>
      </c>
      <c r="D23" s="51" t="n"/>
    </row>
    <row r="24">
      <c r="B24" s="196" t="n"/>
      <c r="C24" s="166" t="inlineStr">
        <is>
          <t>Intern, Student, Apprentice (Number) / 인턴,학생,실습생</t>
        </is>
      </c>
      <c r="D24" s="51" t="n"/>
    </row>
    <row r="25" ht="43.5" customHeight="1" s="191">
      <c r="B25" s="198" t="n"/>
      <c r="C25" s="60" t="inlineStr">
        <is>
          <t>In-house Subcontracted Production
(Number, Actitivy, Name of Company) 
 / 사내 제조 임가공 (숫자, 활동, 회사명)</t>
        </is>
      </c>
      <c r="D25" s="51" t="n"/>
    </row>
    <row r="26">
      <c r="B26" s="166" t="inlineStr">
        <is>
          <t>Dormitory / 기숙사</t>
        </is>
      </c>
      <c r="C26" s="193" t="n"/>
      <c r="D26" s="51" t="n"/>
    </row>
    <row r="27">
      <c r="B27" s="166" t="inlineStr">
        <is>
          <t>Cafeteria / 식당</t>
        </is>
      </c>
      <c r="C27" s="193" t="n"/>
      <c r="D27" s="51" t="n"/>
    </row>
    <row r="28">
      <c r="B28" s="166" t="inlineStr">
        <is>
          <t>SA8000, ISO 14001, ISO 45001 (OHSAS18001), ISO 50001 Certification / 인증여부</t>
        </is>
      </c>
      <c r="C28" s="193" t="n"/>
      <c r="D28" s="51" t="n"/>
    </row>
    <row r="29">
      <c r="B29" s="166" t="inlineStr">
        <is>
          <t xml:space="preserve">Legal Law Violoation or prosecution for last 3 years / 최근 3년내 법적 제제위반사항 </t>
        </is>
      </c>
      <c r="C29" s="193" t="n"/>
      <c r="D29" s="51" t="n"/>
    </row>
    <row r="30">
      <c r="B30" s="166" t="inlineStr">
        <is>
          <t>If yes (the above, please describe) / 있다면 해당 내용 기술</t>
        </is>
      </c>
      <c r="C30" s="193" t="n"/>
      <c r="D30" s="51" t="n"/>
    </row>
    <row r="31">
      <c r="B31" s="166" t="inlineStr">
        <is>
          <t>Worker Interview counts / 인터뷰 근로자 수</t>
        </is>
      </c>
      <c r="C31" s="193" t="n"/>
      <c r="D31" s="51" t="n"/>
    </row>
  </sheetData>
  <mergeCells count="19">
    <mergeCell ref="B7:C7"/>
    <mergeCell ref="B12:B13"/>
    <mergeCell ref="B3:C3"/>
    <mergeCell ref="B31:C31"/>
    <mergeCell ref="B27:C27"/>
    <mergeCell ref="B14:B17"/>
    <mergeCell ref="B2:C2"/>
    <mergeCell ref="B11:C11"/>
    <mergeCell ref="B18:B25"/>
    <mergeCell ref="B8:C8"/>
    <mergeCell ref="B29:C29"/>
    <mergeCell ref="B10:C10"/>
    <mergeCell ref="B28:C28"/>
    <mergeCell ref="B9:C9"/>
    <mergeCell ref="B6:C6"/>
    <mergeCell ref="B30:C30"/>
    <mergeCell ref="B5:C5"/>
    <mergeCell ref="B26:C26"/>
    <mergeCell ref="B4:C4"/>
  </mergeCells>
  <dataValidations count="3">
    <dataValidation sqref="D8" showDropDown="0" showInputMessage="1" showErrorMessage="1" allowBlank="1" type="list">
      <formula1>"Initial,Corrective Action Verification"</formula1>
    </dataValidation>
    <dataValidation sqref="D21:D24 D26:D27 D29" showDropDown="0" showInputMessage="1" showErrorMessage="1" allowBlank="1" type="list">
      <formula1>"Yes,No"</formula1>
    </dataValidation>
    <dataValidation sqref="D9:D11" showDropDown="0" showInputMessage="1" showErrorMessage="1" allowBlank="1" type="date">
      <formula1>44562</formula1>
      <formula2>47848</formula2>
    </dataValidation>
  </dataValidations>
  <pageMargins left="0.3937007874015748" right="0.1574803149606299" top="0.2755905511811024" bottom="0.2755905511811024" header="0.1574803149606299" footer="0.1574803149606299"/>
  <pageSetup orientation="landscape" paperSize="9" scale="88"/>
</worksheet>
</file>

<file path=xl/worksheets/sheet3.xml><?xml version="1.0" encoding="utf-8"?>
<worksheet xmlns="http://schemas.openxmlformats.org/spreadsheetml/2006/main">
  <sheetPr>
    <outlinePr summaryBelow="1" summaryRight="1"/>
    <pageSetUpPr/>
  </sheetPr>
  <dimension ref="A1:S57"/>
  <sheetViews>
    <sheetView showGridLines="0" tabSelected="1" zoomScale="80" zoomScaleNormal="80" zoomScaleSheetLayoutView="100" workbookViewId="0">
      <pane xSplit="11" ySplit="5" topLeftCell="L6" activePane="bottomRight" state="frozen"/>
      <selection activeCell="D20" sqref="D20"/>
      <selection pane="topRight" activeCell="D20" sqref="D20"/>
      <selection pane="bottomLeft" activeCell="D20" sqref="D20"/>
      <selection pane="bottomRight" activeCell="L13" sqref="L13"/>
    </sheetView>
  </sheetViews>
  <sheetFormatPr baseColWidth="8" defaultColWidth="7.88671875" defaultRowHeight="14.4"/>
  <cols>
    <col width="13.5546875" customWidth="1" style="5" min="1" max="1"/>
    <col width="13.88671875" customWidth="1" style="2" min="2" max="2"/>
    <col width="13" customWidth="1" style="2" min="3" max="3"/>
    <col width="15.5546875" customWidth="1" style="2" min="4" max="4"/>
    <col hidden="1" width="11.44140625" customWidth="1" style="2" min="5" max="8"/>
    <col width="16.5546875" customWidth="1" style="2" min="9" max="9"/>
    <col width="12.88671875" customWidth="1" style="115" min="10" max="10"/>
    <col hidden="1" width="13.109375" customWidth="1" style="3" min="11" max="11"/>
    <col width="94.44140625" customWidth="1" style="3" min="12" max="12"/>
    <col width="136.88671875" customWidth="1" style="3" min="13" max="13"/>
    <col hidden="1" width="8.6640625" customWidth="1" style="3" min="14" max="17"/>
    <col width="12.44140625" customWidth="1" style="4" min="18" max="18"/>
    <col width="10" customWidth="1" style="4" min="19" max="19"/>
    <col width="7.88671875" customWidth="1" style="4" min="20" max="16384"/>
  </cols>
  <sheetData>
    <row r="1" ht="30.75" customHeight="1" s="191" thickBot="1">
      <c r="A1" s="39" t="inlineStr">
        <is>
          <t>Vendor Name</t>
        </is>
      </c>
      <c r="B1" s="138" t="inlineStr">
        <is>
          <t>IM VINA</t>
        </is>
      </c>
      <c r="C1" s="40" t="inlineStr">
        <is>
          <t>Audit date</t>
        </is>
      </c>
      <c r="D1" s="206" t="inlineStr">
        <is>
          <t>2026.09.08</t>
        </is>
      </c>
      <c r="E1" s="1" t="n"/>
      <c r="F1" s="1" t="n"/>
      <c r="G1" s="6" t="n"/>
      <c r="H1" s="6" t="n"/>
      <c r="I1" s="14" t="inlineStr">
        <is>
          <t>Comformance Rate</t>
        </is>
      </c>
      <c r="J1" s="113">
        <f>(COUNTIF(D6:D57,"Conformance")+COUNTIF(D6:D57,"N/A"))/52</f>
        <v/>
      </c>
    </row>
    <row r="2" ht="18.75" customHeight="1" s="191" thickBot="1" thickTop="1">
      <c r="A2" s="41" t="inlineStr">
        <is>
          <t>Vendor Code</t>
        </is>
      </c>
      <c r="B2" s="42" t="n"/>
      <c r="C2" s="43" t="inlineStr">
        <is>
          <t>Labor Score</t>
        </is>
      </c>
      <c r="D2" s="207">
        <f>SUMIFS($S$6:$S$57,$R$6:$R$57,"Labor")</f>
        <v/>
      </c>
      <c r="E2" s="140" t="n"/>
      <c r="F2" s="140" t="n"/>
      <c r="G2" s="141" t="n"/>
      <c r="H2" s="141" t="n"/>
      <c r="I2" s="15" t="inlineStr">
        <is>
          <t>Priority violation</t>
        </is>
      </c>
      <c r="J2" s="114">
        <f>COUNTIF(D6:D57,"Priority")</f>
        <v/>
      </c>
    </row>
    <row r="3" ht="18.75" customHeight="1" s="191" thickBot="1" thickTop="1">
      <c r="A3" s="44" t="inlineStr">
        <is>
          <t>RBA Score</t>
        </is>
      </c>
      <c r="B3" s="208">
        <f>IF((200*((COUNTIFS($D$6:$D$57,"Conformance")+COUNTIFS($D$6:$D$57,"N/A"))/52)) - (COUNTIFS($D$6:$D$57,"Priority")*20) -  (COUNTIFS($D$6:$D$57,"Major")*4) -  (COUNTIFS($D$6:$D$57,"Minor")*1)&lt;0,0,(200*((COUNTIFS($D$6:$D$57,"Conformance")+COUNTIFS($D$6:$D$57,"N/A"))/52)) - (COUNTIFS($D$6:$D$57,"Priority")*20) -  (COUNTIFS($D$6:$D$57,"Major")*4) -  (COUNTIFS($D$6:$D$57,"Minor")*1))</f>
        <v/>
      </c>
      <c r="C3" s="46" t="inlineStr">
        <is>
          <t>EHS Score</t>
        </is>
      </c>
      <c r="D3" s="207">
        <f>SUMIFS($S$6:$S$57,$R$6:$R$57,"EHS")</f>
        <v/>
      </c>
      <c r="E3" s="22" t="n"/>
      <c r="F3" s="22" t="n"/>
      <c r="G3" s="23" t="n"/>
      <c r="H3" s="23" t="n"/>
      <c r="I3" s="15" t="inlineStr">
        <is>
          <t>Penalty violation</t>
        </is>
      </c>
      <c r="J3" s="114">
        <f>COUNTIF(H6:H57,"X")</f>
        <v/>
      </c>
    </row>
    <row r="4" ht="18" customHeight="1" s="191" thickTop="1">
      <c r="A4" s="16" t="n"/>
      <c r="C4" s="27">
        <f>COUNTIFS(C6:C57,"O")</f>
        <v/>
      </c>
      <c r="D4" s="21" t="n"/>
      <c r="E4" s="21" t="n"/>
      <c r="F4" s="21" t="n"/>
      <c r="G4" s="21" t="n"/>
      <c r="H4" s="7" t="n"/>
      <c r="I4" s="142" t="n"/>
    </row>
    <row r="5" ht="44.25" customFormat="1" customHeight="1" s="18">
      <c r="A5" s="143" t="inlineStr">
        <is>
          <t>Provision</t>
        </is>
      </c>
      <c r="B5" s="143" t="inlineStr">
        <is>
          <t>Audit ID</t>
        </is>
      </c>
      <c r="C5" s="17" t="inlineStr">
        <is>
          <t>Audit Item</t>
        </is>
      </c>
      <c r="D5" s="138" t="inlineStr">
        <is>
          <t>Final Significance</t>
        </is>
      </c>
      <c r="E5" s="17" t="inlineStr">
        <is>
          <t>Violation</t>
        </is>
      </c>
      <c r="F5" s="17" t="inlineStr">
        <is>
          <t>Penalty
Item</t>
        </is>
      </c>
      <c r="G5" s="17" t="inlineStr">
        <is>
          <t>Penalty
Criteria</t>
        </is>
      </c>
      <c r="H5" s="17" t="inlineStr">
        <is>
          <t>Penalty
violation</t>
        </is>
      </c>
      <c r="I5" s="17" t="inlineStr">
        <is>
          <t>Penalty
Item</t>
        </is>
      </c>
      <c r="J5" s="17" t="inlineStr">
        <is>
          <t>Sub Category</t>
        </is>
      </c>
      <c r="K5" s="143" t="inlineStr">
        <is>
          <t>Conformance statement</t>
        </is>
      </c>
      <c r="L5" s="143" t="inlineStr">
        <is>
          <t>Description of Supporting Evidence of Violation</t>
        </is>
      </c>
      <c r="M5" s="17" t="inlineStr">
        <is>
          <t>Criteria of rating</t>
        </is>
      </c>
      <c r="N5" s="37" t="inlineStr">
        <is>
          <t>Site observation</t>
        </is>
      </c>
      <c r="O5" s="37" t="inlineStr">
        <is>
          <t>Record review</t>
        </is>
      </c>
      <c r="P5" s="37" t="inlineStr">
        <is>
          <t>Management interview</t>
        </is>
      </c>
      <c r="Q5" s="37" t="inlineStr">
        <is>
          <t>Worker interview</t>
        </is>
      </c>
      <c r="R5" s="17" t="inlineStr">
        <is>
          <t>Evaluating
section</t>
        </is>
      </c>
      <c r="S5" s="17" t="inlineStr">
        <is>
          <t>Score</t>
        </is>
      </c>
    </row>
    <row r="6" ht="72" customFormat="1" customHeight="1" s="10">
      <c r="A6" s="78" t="inlineStr">
        <is>
          <t>AL1) Prohibition of Forced Labor</t>
        </is>
      </c>
      <c r="B6" s="9" t="inlineStr">
        <is>
          <t>AL101</t>
        </is>
      </c>
      <c r="C6" s="20" t="inlineStr">
        <is>
          <t>O</t>
        </is>
      </c>
      <c r="D6" s="33" t="inlineStr">
        <is>
          <t>Conformance</t>
        </is>
      </c>
      <c r="E6" s="8">
        <f>IF(AND(D6&lt;&gt;"Conformance", D6&lt;&gt;"N/A"),"X","")</f>
        <v/>
      </c>
      <c r="F6" s="19" t="inlineStr">
        <is>
          <t>X</t>
        </is>
      </c>
      <c r="G6" s="20" t="inlineStr">
        <is>
          <t>Priority</t>
        </is>
      </c>
      <c r="H6" s="9">
        <f>IF(AND(F6="X",G6=D6),"X",IF(AND(F6="X",G6="Major", D6="Priority"),"X",""))</f>
        <v/>
      </c>
      <c r="I6" s="9" t="inlineStr">
        <is>
          <t>O</t>
        </is>
      </c>
      <c r="J6" s="25" t="inlineStr">
        <is>
          <t>Prohibition of forced labor</t>
        </is>
      </c>
      <c r="K6" s="9" t="inlineStr">
        <is>
          <t>Forced labor in any form, including but not limited to bonded(including debt bondage) or indentured labor, involuntary or exploitative prison
     labor, slavery, or trafficking of persons, is not permitted</t>
        </is>
      </c>
      <c r="L6" s="75" t="n"/>
      <c r="M6" s="69" t="inlineStr">
        <is>
          <r>
            <t xml:space="preserve">■ The rating criteria for the findings of prohibited recruitment and hiring fees that were paid and not reimbursed within 90 days after the payment.
     Frequency percentages are based on the sample size.
    </t>
          </r>
          <r>
            <rPr>
              <rFont val="Calibri"/>
              <charset val="129"/>
              <family val="3"/>
              <b val="1"/>
              <color rgb="FF0000FF"/>
              <sz val="10"/>
              <scheme val="minor"/>
            </rPr>
            <t xml:space="preserve"> ☞ Refer to "Reference Table" sheet</t>
          </r>
          <r>
            <rPr>
              <rFont val="Calibri"/>
              <charset val="129"/>
              <family val="3"/>
              <sz val="10"/>
              <scheme val="minor"/>
            </rPr>
            <t xml:space="preserve">
■ Other rating criteria
  ㆍPriority : ① Penalty to leave without reasonable notice is &gt;3 months of gross base wages
               ② Workers restricted from voluntary employment termination
               ③ Any situation that is putting workers at a health or safety risk (e.g., locking in factory or dorm)
               ④ Workers are restricted from movement through threat of firing, reporting to authorities or similarly severe threat
               ⑤ Non-voluntary labor is present (other than scenarios above or Major nonconformance)
               ⑥ A Priority item in AL102 or AL103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④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is>
      </c>
      <c r="N6" s="38" t="inlineStr">
        <is>
          <t>O</t>
        </is>
      </c>
      <c r="O6" s="38" t="inlineStr">
        <is>
          <t>O</t>
        </is>
      </c>
      <c r="P6" s="38" t="inlineStr">
        <is>
          <t>O</t>
        </is>
      </c>
      <c r="Q6" s="38" t="inlineStr">
        <is>
          <t>O</t>
        </is>
      </c>
      <c r="R6" s="8" t="inlineStr">
        <is>
          <t>Labor</t>
        </is>
      </c>
      <c r="S6" s="8">
        <f>VLOOKUP(B6&amp;D6&amp;R6,[2]Table!$D:$E,2,0)</f>
        <v/>
      </c>
    </row>
    <row r="7" ht="111.6" customFormat="1" customHeight="1" s="10">
      <c r="A7" s="78" t="inlineStr">
        <is>
          <t>AL1) Prohibition of Forced Labor</t>
        </is>
      </c>
      <c r="B7" s="9" t="inlineStr">
        <is>
          <t>AL102</t>
        </is>
      </c>
      <c r="C7" s="20" t="inlineStr">
        <is>
          <t>O</t>
        </is>
      </c>
      <c r="D7" s="33" t="inlineStr">
        <is>
          <t>Conformance</t>
        </is>
      </c>
      <c r="E7" s="8">
        <f>IF(AND(D7&lt;&gt;"Conformance", D7&lt;&gt;"N/A"),"X","")</f>
        <v/>
      </c>
      <c r="F7" s="19" t="n"/>
      <c r="G7" s="20" t="n"/>
      <c r="H7" s="9">
        <f>IF(AND(F7="X",G7=D7),"X",IF(AND(F7="X",G7="Major", D7="Priority"),"X",""))</f>
        <v/>
      </c>
      <c r="I7" s="9" t="n"/>
      <c r="J7" s="25" t="inlineStr">
        <is>
          <t>Written contract in native language</t>
        </is>
      </c>
      <c r="K7" s="9" t="inlineStr">
        <is>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states</t>
        </is>
      </c>
      <c r="L7" s="75" t="n"/>
      <c r="M7" s="69" t="inlineStr">
        <is>
          <r>
            <t xml:space="preserve">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delivered prior to departure (in case of migrant workers) 
                   BUT conditions were communicated before work began (before leaving home in case of migrant worker)
</t>
          </r>
          <r>
            <rPr>
              <rFont val="Calibri"/>
              <charset val="129"/>
              <family val="3"/>
              <b val="1"/>
              <color rgb="FF0000FF"/>
              <sz val="10"/>
              <scheme val="minor"/>
            </rPr>
            <t>              </t>
          </r>
          <r>
            <rPr>
              <rFont val="Calibri"/>
              <charset val="129"/>
              <family val="3"/>
              <sz val="10"/>
              <scheme val="minor"/>
            </rPr>
            <t xml:space="preserve"> ② Terms of employment or conditions communicated were incomplete (missing one or more elements)
               ③ Defined worker group mix (e.g. student, intern, dispatch, etc.) exceeds legal limits by &gt; 5%
ㆍMinor :  ① Terms of employment  are provided but are incomplete (e.g. missing terms or conditions)
             ② Defined worker group mix (e.g. student, intern, dispatch, etc.) exceeds legal limits by &gt;1% but ≤ 5%.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is>
      </c>
      <c r="N7" s="38" t="n"/>
      <c r="O7" s="38" t="inlineStr">
        <is>
          <t>O</t>
        </is>
      </c>
      <c r="P7" s="38" t="inlineStr">
        <is>
          <t>O</t>
        </is>
      </c>
      <c r="Q7" s="38" t="inlineStr">
        <is>
          <t>O</t>
        </is>
      </c>
      <c r="R7" s="8" t="inlineStr">
        <is>
          <t>Labor</t>
        </is>
      </c>
      <c r="S7" s="8">
        <f>VLOOKUP(B7&amp;D7&amp;R7,[2]Table!$D:$E,2,0)</f>
        <v/>
      </c>
    </row>
    <row r="8" ht="109.35" customFormat="1" customHeight="1" s="10">
      <c r="A8" s="78" t="inlineStr">
        <is>
          <t>AL1) Prohibition of Forced Labor</t>
        </is>
      </c>
      <c r="B8" s="9" t="inlineStr">
        <is>
          <t>AL103</t>
        </is>
      </c>
      <c r="C8" s="20" t="inlineStr">
        <is>
          <t>O</t>
        </is>
      </c>
      <c r="D8" s="33" t="inlineStr">
        <is>
          <t>Conformance</t>
        </is>
      </c>
      <c r="E8" s="8">
        <f>IF(AND(D8&lt;&gt;"Conformance", D8&lt;&gt;"N/A"),"X","")</f>
        <v/>
      </c>
      <c r="F8" s="19" t="n"/>
      <c r="G8" s="20" t="n"/>
      <c r="H8" s="9">
        <f>IF(AND(F8="X",G8=D8),"X",IF(AND(F8="X",G8="Major", D8="Priority"),"X",""))</f>
        <v/>
      </c>
      <c r="I8" s="9" t="n"/>
      <c r="J8" s="25" t="inlineStr">
        <is>
          <t>Prohibition of holding worker’s original ID card</t>
        </is>
      </c>
      <c r="K8" s="9" t="inlineStr">
        <is>
          <t xml:space="preserve">The worker’s government-issued identification and personal documentation originals are not held by their employer, 
    agents and  sub-agents
</t>
        </is>
      </c>
      <c r="L8" s="75" t="n"/>
      <c r="M8" s="69" t="inlineStr">
        <is>
          <t>ㆍPriority : ① Any original personal documents are kept, destroyed, concealed, or confiscated우
              ② If the law requires the document to be held, any evidence of tampering, restricting access for more than 12 hours or charging a fee
              ③ A priority rating on this finding also requires a  priority finding on AL101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is>
      </c>
      <c r="N8" s="38" t="inlineStr">
        <is>
          <t>O</t>
        </is>
      </c>
      <c r="O8" s="38" t="inlineStr">
        <is>
          <t>O</t>
        </is>
      </c>
      <c r="P8" s="38" t="inlineStr">
        <is>
          <t>O</t>
        </is>
      </c>
      <c r="Q8" s="38" t="inlineStr">
        <is>
          <t>O</t>
        </is>
      </c>
      <c r="R8" s="8" t="inlineStr">
        <is>
          <t>Labor</t>
        </is>
      </c>
      <c r="S8" s="8">
        <f>VLOOKUP(B8&amp;D8&amp;R8,[2]Table!$D:$E,2,0)</f>
        <v/>
      </c>
    </row>
    <row r="9" ht="109.35" customFormat="1" customHeight="1" s="10">
      <c r="A9" s="78" t="inlineStr">
        <is>
          <t>AL2) Young Workers</t>
        </is>
      </c>
      <c r="B9" s="9" t="inlineStr">
        <is>
          <t>AL201</t>
        </is>
      </c>
      <c r="C9" s="20" t="inlineStr">
        <is>
          <t>O</t>
        </is>
      </c>
      <c r="D9" s="33" t="inlineStr">
        <is>
          <t>Conformance</t>
        </is>
      </c>
      <c r="E9" s="8">
        <f>IF(AND(D9&lt;&gt;"Conformance", D9&lt;&gt;"N/A"),"X","")</f>
        <v/>
      </c>
      <c r="F9" s="19" t="inlineStr">
        <is>
          <t>X</t>
        </is>
      </c>
      <c r="G9" s="20" t="inlineStr">
        <is>
          <t>Priority</t>
        </is>
      </c>
      <c r="H9" s="9">
        <f>IF(AND(F9="X",G9=D9),"X",IF(AND(F9="X",G9="Major", D9="Priority"),"X",""))</f>
        <v/>
      </c>
      <c r="I9" s="9" t="inlineStr">
        <is>
          <t>O</t>
        </is>
      </c>
      <c r="J9" s="25" t="inlineStr">
        <is>
          <t>Prohibition of child labor</t>
        </is>
      </c>
      <c r="K9" s="9" t="inlineStr">
        <is>
          <t>Workers are not below the minimum age</t>
        </is>
      </c>
      <c r="L9" s="75" t="n"/>
      <c r="M9" s="69" t="inlineStr">
        <is>
          <t>ㆍPriority : Confirmed underage workers are present at the facility or were present
ㆍMajor   : Two or more of the minimum requirement elements is missing or ineffective
ㆍMinor   : One of the minimum requirement elements is missing or ineffective, or a system element is not adequately documented or is prohibited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9" s="38" t="inlineStr">
        <is>
          <t>O</t>
        </is>
      </c>
      <c r="O9" s="38" t="inlineStr">
        <is>
          <t>O</t>
        </is>
      </c>
      <c r="P9" s="38" t="inlineStr">
        <is>
          <t>O</t>
        </is>
      </c>
      <c r="Q9" s="38" t="inlineStr">
        <is>
          <t>O</t>
        </is>
      </c>
      <c r="R9" s="8" t="inlineStr">
        <is>
          <t>Labor</t>
        </is>
      </c>
      <c r="S9" s="8">
        <f>VLOOKUP(B9&amp;D9&amp;R9,[2]Table!$D:$E,2,0)</f>
        <v/>
      </c>
    </row>
    <row r="10" ht="134.25" customFormat="1" customHeight="1" s="10">
      <c r="A10" s="78" t="inlineStr">
        <is>
          <t>AL2) Young Workers</t>
        </is>
      </c>
      <c r="B10" s="9" t="inlineStr">
        <is>
          <t>AL202</t>
        </is>
      </c>
      <c r="C10" s="20" t="inlineStr">
        <is>
          <t>O</t>
        </is>
      </c>
      <c r="D10" s="33" t="inlineStr">
        <is>
          <t>Conformance</t>
        </is>
      </c>
      <c r="E10" s="8">
        <f>IF(AND(D10&lt;&gt;"Conformance", D10&lt;&gt;"N/A"),"X","")</f>
        <v/>
      </c>
      <c r="F10" s="19" t="inlineStr">
        <is>
          <t>X</t>
        </is>
      </c>
      <c r="G10" s="20" t="inlineStr">
        <is>
          <t>Priority</t>
        </is>
      </c>
      <c r="H10" s="9">
        <f>IF(AND(F10="X",G10=D10),"X",IF(AND(F10="X",G10="Major", D10="Priority"),"X",""))</f>
        <v/>
      </c>
      <c r="I10" s="9" t="inlineStr">
        <is>
          <t>O</t>
        </is>
      </c>
      <c r="J10" s="25" t="inlineStr">
        <is>
          <t>Juvenile worker protection</t>
        </is>
      </c>
      <c r="K10" s="69" t="inlineStr">
        <is>
          <t>Workers under the age of 18 are not allowed to perform work that is likely to jeopardize the health or safety of these young workers,
     including night work or overtime</t>
        </is>
      </c>
      <c r="L10" s="75" t="n"/>
      <c r="M10" s="69" t="inlineStr">
        <is>
          <t>ㆍPriority : ① Young workers are doing hazardous work
              ② Young workers are working overtime
              ③ Young workers are doing night work 
ㆍMajor :  Two or more of the minimum requirement elements is missing or ineffective
ㆍMinor :  One of the minimum requirement elements is missing or ineffective, or a system element is not adequately documented or is prohibited
ㆍN/A    : No workers under age 18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10" s="38" t="inlineStr">
        <is>
          <t>O</t>
        </is>
      </c>
      <c r="O10" s="38" t="inlineStr">
        <is>
          <t>O</t>
        </is>
      </c>
      <c r="P10" s="38" t="inlineStr">
        <is>
          <t>O</t>
        </is>
      </c>
      <c r="Q10" s="38" t="inlineStr">
        <is>
          <t>O</t>
        </is>
      </c>
      <c r="R10" s="8" t="inlineStr">
        <is>
          <t>Labor</t>
        </is>
      </c>
      <c r="S10" s="8">
        <f>VLOOKUP(B10&amp;D10&amp;R10,[2]Table!$D:$E,2,0)</f>
        <v/>
      </c>
    </row>
    <row r="11" ht="109.35" customFormat="1" customHeight="1" s="10">
      <c r="A11" s="78" t="inlineStr">
        <is>
          <t>AL2) Young Workers</t>
        </is>
      </c>
      <c r="B11" s="9" t="inlineStr">
        <is>
          <t>AL203</t>
        </is>
      </c>
      <c r="C11" s="20" t="inlineStr">
        <is>
          <t>O</t>
        </is>
      </c>
      <c r="D11" s="33" t="inlineStr">
        <is>
          <t>Conformance</t>
        </is>
      </c>
      <c r="E11" s="8">
        <f>IF(AND(D11&lt;&gt;"Conformance", D11&lt;&gt;"N/A"),"X","")</f>
        <v/>
      </c>
      <c r="F11" s="19" t="n"/>
      <c r="G11" s="20" t="n"/>
      <c r="H11" s="9">
        <f>IF(AND(F11="X",G11=D11),"X",IF(AND(F11="X",G11="Major", D11="Priority"),"X",""))</f>
        <v/>
      </c>
      <c r="I11" s="9" t="n"/>
      <c r="J11" s="25" t="inlineStr">
        <is>
          <t>Student worker/Intern/Apprentice Protection</t>
        </is>
      </c>
      <c r="K11" s="69" t="inlineStr">
        <is>
          <t>Apprentice/Intern/Student Worker employment conforms with learning objectives</t>
        </is>
      </c>
      <c r="L11" s="75" t="n"/>
      <c r="M11" s="69" t="inlineStr">
        <is>
          <t>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are missing or ineffective
ㆍMinor :   ① No policy on learning programs in place
               ② No school due diligence performed
               ③ One of the minimum requirement elements is missing or ineffective, or a system element is not adequately documented or is prohibited
ㆍN/A : No student workers, interns or apprentices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is>
      </c>
      <c r="N11" s="38" t="inlineStr">
        <is>
          <t>O</t>
        </is>
      </c>
      <c r="O11" s="38" t="inlineStr">
        <is>
          <t>O</t>
        </is>
      </c>
      <c r="P11" s="38" t="inlineStr">
        <is>
          <t>O</t>
        </is>
      </c>
      <c r="Q11" s="38" t="inlineStr">
        <is>
          <t>O</t>
        </is>
      </c>
      <c r="R11" s="8" t="inlineStr">
        <is>
          <t>Labor</t>
        </is>
      </c>
      <c r="S11" s="8">
        <f>VLOOKUP(B11&amp;D11&amp;R11,[2]Table!$D:$E,2,0)</f>
        <v/>
      </c>
    </row>
    <row r="12" ht="79.2" customFormat="1" customHeight="1" s="10">
      <c r="A12" s="78" t="inlineStr">
        <is>
          <t>AL3) Working hours</t>
        </is>
      </c>
      <c r="B12" s="9" t="inlineStr">
        <is>
          <t>AL301</t>
        </is>
      </c>
      <c r="C12" s="20" t="inlineStr">
        <is>
          <t>O</t>
        </is>
      </c>
      <c r="D12" s="33" t="inlineStr">
        <is>
          <t>Conformance</t>
        </is>
      </c>
      <c r="E12" s="8">
        <f>IF(AND(D12&lt;&gt;"Conformance", D12&lt;&gt;"N/A"),"X","")</f>
        <v/>
      </c>
      <c r="F12" s="19" t="n"/>
      <c r="G12" s="20" t="n"/>
      <c r="H12" s="9">
        <f>IF(AND(F12="X",G12=D12),"X",IF(AND(F12="X",G12="Major", D12="Priority"),"X",""))</f>
        <v/>
      </c>
      <c r="I12" s="9" t="n"/>
      <c r="J12" s="25" t="inlineStr">
        <is>
          <t>Compliance of working hours</t>
        </is>
      </c>
      <c r="K12" s="69" t="inlineStr">
        <is>
          <t xml:space="preserve">Hours worked in a workweek does not exceed 60 hours </t>
        </is>
      </c>
      <c r="L12" s="75" t="n"/>
      <c r="M12" s="69" t="inlineStr">
        <is>
          <r>
            <t>
</t>
          </r>
          <r>
            <rPr>
              <rFont val="Calibri"/>
              <charset val="129"/>
              <family val="3"/>
              <b val="1"/>
              <color rgb="FF0000FF"/>
              <sz val="10"/>
              <scheme val="minor"/>
            </rPr>
            <t xml:space="preserve">Use working-hour evaluation template, "Reference Table" sheet </t>
          </r>
          <r>
            <rPr>
              <rFont val="Calibri"/>
              <charset val="129"/>
              <family val="3"/>
              <sz val="10"/>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is>
      </c>
      <c r="N12" s="38" t="n"/>
      <c r="O12" s="38" t="inlineStr">
        <is>
          <t>O</t>
        </is>
      </c>
      <c r="P12" s="38" t="inlineStr">
        <is>
          <t>O</t>
        </is>
      </c>
      <c r="Q12" s="38" t="inlineStr">
        <is>
          <t>O</t>
        </is>
      </c>
      <c r="R12" s="8" t="inlineStr">
        <is>
          <t>Labor</t>
        </is>
      </c>
      <c r="S12" s="8">
        <f>VLOOKUP(B12&amp;D12&amp;R12,[2]Table!$D:$E,2,0)</f>
        <v/>
      </c>
    </row>
    <row r="13" ht="235.5" customFormat="1" customHeight="1" s="10">
      <c r="A13" s="78" t="inlineStr">
        <is>
          <t>AL3) Working hours</t>
        </is>
      </c>
      <c r="B13" s="9" t="inlineStr">
        <is>
          <t>AL302</t>
        </is>
      </c>
      <c r="C13" s="20" t="inlineStr">
        <is>
          <t>O</t>
        </is>
      </c>
      <c r="D13" s="33" t="inlineStr">
        <is>
          <t>Minor</t>
        </is>
      </c>
      <c r="E13" s="8">
        <f>IF(AND(D13&lt;&gt;"Conformance", D13&lt;&gt;"N/A"),"X","")</f>
        <v/>
      </c>
      <c r="F13" s="19" t="n"/>
      <c r="G13" s="20" t="n"/>
      <c r="H13" s="9">
        <f>IF(AND(F13="X",G13=D13),"X",IF(AND(F13="X",G13="Major", D13="Priority"),"X",""))</f>
        <v/>
      </c>
      <c r="I13" s="9" t="n"/>
      <c r="J13" s="25" t="inlineStr">
        <is>
          <t>Guarantee of 1 day-off per week</t>
        </is>
      </c>
      <c r="K13" s="69" t="inlineStr">
        <is>
          <t xml:space="preserve">Workers receive at least one (1) day off every seven (7) days </t>
        </is>
      </c>
      <c r="L13" s="209" t="inlineStr">
        <is>
          <r>
            <rPr>
              <rFont val="Calibri"/>
              <b val="1"/>
              <sz val="10"/>
            </rPr>
            <t xml:space="preserve">AUDIT FINDINGS (ENGLISH)
</t>
          </r>
          <r>
            <rPr>
              <rFont val="Calibri"/>
              <sz val="10"/>
            </rPr>
            <t xml:space="preserve">1. Through examining the working data of 35 people in 3 months (June, July, August 2026), it shows that: On average, 3.8% of workers worked continuously [12 ~ 24 days] in 3 months.
</t>
          </r>
          <r>
            <rPr>
              <rFont val="Calibri"/>
              <sz val="10"/>
            </rPr>
            <t>
</t>
          </r>
          <r>
            <rPr>
              <rFont val="Calibri"/>
              <b val="1"/>
              <sz val="10"/>
            </rPr>
            <t xml:space="preserve">Legal references:
</t>
          </r>
          <r>
            <rPr>
              <rFont val="Calibri"/>
              <sz val="10"/>
            </rPr>
            <t xml:space="preserve">1. RBA Code of Conduct, Version 8.0.1, Section A3: Working Hours (one day off in seven)
</t>
          </r>
          <r>
            <rPr>
              <rFont val="Calibri"/>
              <sz val="10"/>
            </rPr>
            <t xml:space="preserve">2. Labor Code No. 45/2019/QH14 (amended 2025), Article 111 (weekly rest: at least 24 consecutive hours per week)
</t>
          </r>
          <r>
            <rPr>
              <rFont val="Calibri"/>
              <sz val="10"/>
            </rPr>
            <t xml:space="preserve">---------------------------------------
</t>
          </r>
          <r>
            <rPr>
              <rFont val="Calibri"/>
              <b val="1"/>
              <sz val="10"/>
            </rPr>
            <t xml:space="preserve">NỘI DUNG ĐÁNH GIÁ (TIẾNG VIỆT)
</t>
          </r>
          <r>
            <rPr>
              <rFont val="Calibri"/>
              <sz val="10"/>
            </rPr>
            <t xml:space="preserve">1. Qua kiểm tra dữ liệu làm việc 35 người trong 3 tháng (06,07,08.2026) cho thấy:  Trung bình 3.8% người lao động làm việc liên tục [12 ~ 24 ngày] trong 3 tháng.
</t>
          </r>
          <r>
            <rPr>
              <rFont val="Calibri"/>
              <sz val="10"/>
            </rPr>
            <t>
</t>
          </r>
          <r>
            <rPr>
              <rFont val="Calibri"/>
              <b val="1"/>
              <sz val="10"/>
            </rPr>
            <t xml:space="preserve">Căn cứ pháp lý:
</t>
          </r>
          <r>
            <rPr>
              <rFont val="Calibri"/>
              <sz val="10"/>
            </rPr>
            <t xml:space="preserve">1. Bộ Quy tắc Ứng xử RBA phiên bản 8.0.1, Mục A3: Thời giờ làm việc (nghỉ 1 ngày mỗi tuần)
</t>
          </r>
          <r>
            <rPr>
              <rFont val="Calibri"/>
              <sz val="10"/>
            </rPr>
            <t>2. Bộ luật Lao động năm 2019 (Luật số 45/2019/QH14, sửa đổi 2025), Điều 111 (nghỉ hàng tuần: ít nhất 24 giờ liên tục mỗi tuần)</t>
          </r>
        </is>
      </c>
      <c r="M13" s="69" t="inlineStr">
        <is>
          <r>
            <t>
</t>
          </r>
          <r>
            <rPr>
              <rFont val="Calibri"/>
              <charset val="129"/>
              <family val="3"/>
              <b val="1"/>
              <color rgb="FF0000FF"/>
              <sz val="10"/>
              <scheme val="minor"/>
            </rPr>
            <t>Use working-hour evaluation template, "Reference Table" sheet</t>
          </r>
          <r>
            <rPr>
              <rFont val="Calibri"/>
              <charset val="129"/>
              <family val="3"/>
              <sz val="10"/>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is>
      </c>
      <c r="N13" s="38" t="n"/>
      <c r="O13" s="38" t="inlineStr">
        <is>
          <t>O</t>
        </is>
      </c>
      <c r="P13" s="38" t="inlineStr">
        <is>
          <t>O</t>
        </is>
      </c>
      <c r="Q13" s="38" t="inlineStr">
        <is>
          <t>O</t>
        </is>
      </c>
      <c r="R13" s="8" t="inlineStr">
        <is>
          <t>Labor</t>
        </is>
      </c>
      <c r="S13" s="8">
        <f>VLOOKUP(B13&amp;D13&amp;R13,[2]Table!$D:$E,2,0)</f>
        <v/>
      </c>
    </row>
    <row r="14" ht="136.95" customFormat="1" customHeight="1" s="10">
      <c r="A14" s="78" t="inlineStr">
        <is>
          <t>AL3) Working hours</t>
        </is>
      </c>
      <c r="B14" s="9" t="inlineStr">
        <is>
          <t>AL303</t>
        </is>
      </c>
      <c r="C14" s="20" t="inlineStr">
        <is>
          <t>O</t>
        </is>
      </c>
      <c r="D14" s="33" t="inlineStr">
        <is>
          <t>Conformance</t>
        </is>
      </c>
      <c r="E14" s="8">
        <f>IF(AND(D14&lt;&gt;"Conformance", D14&lt;&gt;"N/A"),"X","")</f>
        <v/>
      </c>
      <c r="F14" s="19" t="n"/>
      <c r="G14" s="20" t="n"/>
      <c r="H14" s="9">
        <f>IF(AND(F14="X",G14=D14),"X",IF(AND(F14="X",G14="Major", D14="Priority"),"X",""))</f>
        <v/>
      </c>
      <c r="I14" s="9" t="n"/>
      <c r="J14" s="25" t="inlineStr">
        <is>
          <t>Guarantee of legal breaks and holidays</t>
        </is>
      </c>
      <c r="K14" s="69" t="inlineStr">
        <is>
          <t>Workers are allowed mandated breaks, holidays and vacation days, including time off when ill or for maternity leave</t>
        </is>
      </c>
      <c r="L14" s="75" t="n"/>
      <c r="M14" s="69" t="inlineStr">
        <is>
          <t>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but: no policy is in place
             ② Holidays and mandatory breaks are provided but: policy is not communicated to workers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is>
      </c>
      <c r="N14" s="38" t="inlineStr">
        <is>
          <t>O</t>
        </is>
      </c>
      <c r="O14" s="38" t="inlineStr">
        <is>
          <t>O</t>
        </is>
      </c>
      <c r="P14" s="38" t="inlineStr">
        <is>
          <t>O</t>
        </is>
      </c>
      <c r="Q14" s="38" t="inlineStr">
        <is>
          <t>O</t>
        </is>
      </c>
      <c r="R14" s="8" t="inlineStr">
        <is>
          <t>Labor</t>
        </is>
      </c>
      <c r="S14" s="8">
        <f>VLOOKUP(B14&amp;D14&amp;R14,[2]Table!$D:$E,2,0)</f>
        <v/>
      </c>
    </row>
    <row r="15" ht="303" customFormat="1" customHeight="1" s="10">
      <c r="A15" s="78" t="inlineStr">
        <is>
          <t>AL4) Wages and Benefits</t>
        </is>
      </c>
      <c r="B15" s="9" t="inlineStr">
        <is>
          <t>AL401</t>
        </is>
      </c>
      <c r="C15" s="20" t="inlineStr">
        <is>
          <t>O</t>
        </is>
      </c>
      <c r="D15" s="33" t="inlineStr">
        <is>
          <t>Major</t>
        </is>
      </c>
      <c r="E15" s="8">
        <f>IF(AND(D15&lt;&gt;"Conformance", D15&lt;&gt;"N/A"),"X","")</f>
        <v/>
      </c>
      <c r="F15" s="19" t="inlineStr">
        <is>
          <t>X</t>
        </is>
      </c>
      <c r="G15" s="20" t="inlineStr">
        <is>
          <t>Priority</t>
        </is>
      </c>
      <c r="H15" s="9">
        <f>IF(AND(F15="X",G15=D15),"X",IF(AND(F15="X",G15="Major", D15="Priority"),"X",""))</f>
        <v/>
      </c>
      <c r="I15" s="9" t="inlineStr">
        <is>
          <t>O</t>
        </is>
      </c>
      <c r="J15" s="116" t="inlineStr">
        <is>
          <t>Accurate wage calculation and payment</t>
        </is>
      </c>
      <c r="K15" s="69" t="inlineStr">
        <is>
          <t xml:space="preserve">Wages for regular and overtime hours are correctly calculated and timely paid to all workers </t>
        </is>
      </c>
      <c r="L15" s="209" t="inlineStr">
        <is>
          <r>
            <rPr>
              <rFont val="Calibri"/>
              <b val="1"/>
              <sz val="10"/>
            </rPr>
            <t xml:space="preserve">AUDIT FINDINGS (ENGLISH)
</t>
          </r>
          <r>
            <rPr>
              <rFont val="Calibri"/>
              <sz val="10"/>
            </rPr>
            <t xml:space="preserve">1. The company has not provided child care support for employees with children of child care age.
</t>
          </r>
          <r>
            <rPr>
              <rFont val="Calibri"/>
              <sz val="10"/>
            </rPr>
            <t>
</t>
          </r>
          <r>
            <rPr>
              <rFont val="Calibri"/>
              <b val="1"/>
              <sz val="10"/>
            </rPr>
            <t xml:space="preserve">Legal references:
</t>
          </r>
          <r>
            <rPr>
              <rFont val="Calibri"/>
              <sz val="10"/>
            </rPr>
            <t xml:space="preserve">1. RBA Code of Conduct, Version 8.0.1, Section A4: Wages and Benefits (accurate and timely payment)
</t>
          </r>
          <r>
            <rPr>
              <rFont val="Calibri"/>
              <sz val="10"/>
            </rPr>
            <t xml:space="preserve">2. Labor Code No. 45/2019/QH14 (amended 2025), Article 94 (wages shall be paid directly, in full and on time)
</t>
          </r>
          <r>
            <rPr>
              <rFont val="Calibri"/>
              <sz val="10"/>
            </rPr>
            <t xml:space="preserve">3. Labor Code No. 45/2019/QH14 (amended 2025), Articles 96-97 (piece-rate and job-based wages)
</t>
          </r>
          <r>
            <rPr>
              <rFont val="Calibri"/>
              <sz val="10"/>
            </rPr>
            <t xml:space="preserve">---------------------------------------
</t>
          </r>
          <r>
            <rPr>
              <rFont val="Calibri"/>
              <b val="1"/>
              <sz val="10"/>
            </rPr>
            <t xml:space="preserve">NỘI DUNG ĐÁNH GIÁ (TIẾNG VIỆT)
</t>
          </r>
          <r>
            <rPr>
              <rFont val="Calibri"/>
              <sz val="10"/>
            </rPr>
            <t xml:space="preserve">1. Công ty chưa thực hiện hỗ trợ khoản gửi trẻ cho người lao động có con trong độ tuổi gửi trẻ.
</t>
          </r>
          <r>
            <rPr>
              <rFont val="Calibri"/>
              <sz val="10"/>
            </rPr>
            <t>
</t>
          </r>
          <r>
            <rPr>
              <rFont val="Calibri"/>
              <b val="1"/>
              <sz val="10"/>
            </rPr>
            <t xml:space="preserve">Căn cứ pháp lý:
</t>
          </r>
          <r>
            <rPr>
              <rFont val="Calibri"/>
              <sz val="10"/>
            </rPr>
            <t xml:space="preserve">1. Bộ Quy tắc Ứng xử RBA phiên bản 8.0.1, Mục A4: Tiền lương và phúc lợi (trả lương chính xác, đúng hạn)
</t>
          </r>
          <r>
            <rPr>
              <rFont val="Calibri"/>
              <sz val="10"/>
            </rPr>
            <t xml:space="preserve">2. Bộ luật Lao động năm 2019 (Luật số 45/2019/QH14, sửa đổi 2025), Điều 94 (tiền lương phải được trả trực tiếp, đầy đủ, đúng hạn)
</t>
          </r>
          <r>
            <rPr>
              <rFont val="Calibri"/>
              <sz val="10"/>
            </rPr>
            <t>3. Bộ luật Lao động năm 2019 (Luật số 45/2019/QH14, sửa đổi 2025), Điều 96-97 (lương theo công việc, theo sản phẩm)</t>
          </r>
        </is>
      </c>
      <c r="M15" s="117" t="inlineStr">
        <is>
          <t>ㆍPriority : Payments have been delayed for more than 1 month beyond regular payment cycle
ㆍMajor  :  ① Payments are delayed less than one month beyond normal payment cycle and for &gt;5 percent of worker samples
              ② The percentage of sample workers paid below agreed wage is ≥5% and ≤20%
              ③ Percentage of sample or population not paid benefits or correct overtime compensation is ≥5%
              ④ Wage deductions are employed by the Auditee as a standard disciplinary measure
ㆍMinor  : ① Payments have been delayed less than one month beyond normal payment cycle and for ≤5 percent of worker sample
              ② Wage deductions are not employed by the Auditee however no clear policy statement on this is in place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5" s="38" t="n"/>
      <c r="O15" s="38" t="inlineStr">
        <is>
          <t>O</t>
        </is>
      </c>
      <c r="P15" s="38" t="inlineStr">
        <is>
          <t>O</t>
        </is>
      </c>
      <c r="Q15" s="38" t="inlineStr">
        <is>
          <t>O</t>
        </is>
      </c>
      <c r="R15" s="8" t="inlineStr">
        <is>
          <t>Labor</t>
        </is>
      </c>
      <c r="S15" s="8">
        <f>VLOOKUP(B15&amp;D15&amp;R15,[2]Table!$D:$E,2,0)</f>
        <v/>
      </c>
    </row>
    <row r="16" ht="235.5" customFormat="1" customHeight="1" s="10">
      <c r="A16" s="78" t="inlineStr">
        <is>
          <t>AL4) Wages and Benefits</t>
        </is>
      </c>
      <c r="B16" s="9" t="inlineStr">
        <is>
          <t>AL402</t>
        </is>
      </c>
      <c r="C16" s="20" t="inlineStr">
        <is>
          <t>O</t>
        </is>
      </c>
      <c r="D16" s="33" t="inlineStr">
        <is>
          <t>Major</t>
        </is>
      </c>
      <c r="E16" s="8">
        <f>IF(AND(D16&lt;&gt;"Conformance", D16&lt;&gt;"N/A"),"X","")</f>
        <v/>
      </c>
      <c r="F16" s="19" t="n"/>
      <c r="G16" s="20" t="n"/>
      <c r="H16" s="9">
        <f>IF(AND(F16="X",G16=D16),"X",IF(AND(F16="X",G16="Major", D16="Priority"),"X",""))</f>
        <v/>
      </c>
      <c r="I16" s="9" t="n"/>
      <c r="J16" s="116" t="inlineStr">
        <is>
          <t>Provision of pay slip</t>
        </is>
      </c>
      <c r="K16" s="69" t="inlineStr">
        <is>
          <t xml:space="preserve">For each pay period, workers are provided with understandable wage statements that includes sufficient information to verify 
    accurate compensation for work performed </t>
        </is>
      </c>
      <c r="L16" s="209" t="inlineStr">
        <is>
          <r>
            <rPr>
              <rFont val="Calibri"/>
              <b val="1"/>
              <sz val="10"/>
            </rPr>
            <t xml:space="preserve">AUDIT FINDINGS (ENGLISH)
</t>
          </r>
          <r>
            <rPr>
              <rFont val="Calibri"/>
              <sz val="10"/>
            </rPr>
            <t xml:space="preserve">1. The company has not actually paid the remaining salaries to employees upon termination within 14 working days
</t>
          </r>
          <r>
            <rPr>
              <rFont val="Calibri"/>
              <sz val="10"/>
            </rPr>
            <t>
</t>
          </r>
          <r>
            <rPr>
              <rFont val="Calibri"/>
              <b val="1"/>
              <sz val="10"/>
            </rPr>
            <t xml:space="preserve">Legal references:
</t>
          </r>
          <r>
            <rPr>
              <rFont val="Calibri"/>
              <sz val="10"/>
            </rPr>
            <t xml:space="preserve">1. RBA Code of Conduct, Version 8.0.1, Section A4: Wages and Benefits (pay slip)
</t>
          </r>
          <r>
            <rPr>
              <rFont val="Calibri"/>
              <sz val="10"/>
            </rPr>
            <t xml:space="preserve">2. Labor Code No. 45/2019/QH14 (amended 2025), Article 104 (wage statement provided for each pay period)
</t>
          </r>
          <r>
            <rPr>
              <rFont val="Calibri"/>
              <sz val="10"/>
            </rPr>
            <t xml:space="preserve">---------------------------------------
</t>
          </r>
          <r>
            <rPr>
              <rFont val="Calibri"/>
              <b val="1"/>
              <sz val="10"/>
            </rPr>
            <t xml:space="preserve">NỘI DUNG ĐÁNH GIÁ (TIẾNG VIỆT)
</t>
          </r>
          <r>
            <rPr>
              <rFont val="Calibri"/>
              <sz val="10"/>
            </rPr>
            <t xml:space="preserve">1. Công ty chưa thực chi trả các khoản tiền lương còn lại cho người lao động khi nghỉ việc trong vòng 14 ngày làm việc
</t>
          </r>
          <r>
            <rPr>
              <rFont val="Calibri"/>
              <sz val="10"/>
            </rPr>
            <t>
</t>
          </r>
          <r>
            <rPr>
              <rFont val="Calibri"/>
              <b val="1"/>
              <sz val="10"/>
            </rPr>
            <t xml:space="preserve">Căn cứ pháp lý:
</t>
          </r>
          <r>
            <rPr>
              <rFont val="Calibri"/>
              <sz val="10"/>
            </rPr>
            <t xml:space="preserve">1. Bộ Quy tắc Ứng xử RBA phiên bản 8.0.1, Mục A4: Tiền lương và phúc lợi (phiếu lương)
</t>
          </r>
          <r>
            <rPr>
              <rFont val="Calibri"/>
              <sz val="10"/>
            </rPr>
            <t>2. Bộ luật Lao động năm 2019 (Luật số 45/2019/QH14, sửa đổi 2025), Điều 104 (phiếu xác nhận các nội dung về lương mỗi kỳ trả lương)</t>
          </r>
        </is>
      </c>
      <c r="M16" s="117" t="inlineStr">
        <is>
          <t>ㆍPriority : ≥20% of sample is paid less than agreed* wage
               (* Agreed = the stricter of legal minimum wage, wage stipulated in the employment contract or wage set in the Collective Bargaining Agreement
ㆍMajor :  ① Wages and compensation are not communicated to workers in the form of pay slips, pay roll receipt or equivalent
              ② No training or explanation of wages are provided to workers
ㆍMinor : Communication and training are provided but &gt;5 percent of the worker sample do not understand how wages are calculated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6" s="38" t="n"/>
      <c r="O16" s="38" t="inlineStr">
        <is>
          <t>O</t>
        </is>
      </c>
      <c r="P16" s="38" t="inlineStr">
        <is>
          <t>O</t>
        </is>
      </c>
      <c r="Q16" s="38" t="inlineStr">
        <is>
          <t>O</t>
        </is>
      </c>
      <c r="R16" s="8" t="inlineStr">
        <is>
          <t>Labor</t>
        </is>
      </c>
      <c r="S16" s="8">
        <f>VLOOKUP(B16&amp;D16&amp;R16,[2]Table!$D:$E,2,0)</f>
        <v/>
      </c>
    </row>
    <row r="17" ht="123.75" customFormat="1" customHeight="1" s="10">
      <c r="A17" s="78" t="inlineStr">
        <is>
          <t>AL4) Wages and Benefits</t>
        </is>
      </c>
      <c r="B17" s="9" t="inlineStr">
        <is>
          <t>AL403</t>
        </is>
      </c>
      <c r="C17" s="20" t="inlineStr">
        <is>
          <t>O</t>
        </is>
      </c>
      <c r="D17" s="33" t="inlineStr">
        <is>
          <t>Conformance</t>
        </is>
      </c>
      <c r="E17" s="8">
        <f>IF(AND(D17&lt;&gt;"Conformance", D17&lt;&gt;"N/A"),"X","")</f>
        <v/>
      </c>
      <c r="F17" s="19" t="inlineStr">
        <is>
          <t>X</t>
        </is>
      </c>
      <c r="G17" s="20" t="inlineStr">
        <is>
          <t>Priority</t>
        </is>
      </c>
      <c r="H17" s="9">
        <f>IF(AND(F17="X",G17=D17),"X",IF(AND(F17="X",G17="Major", D17="Priority"),"X",""))</f>
        <v/>
      </c>
      <c r="I17" s="9" t="inlineStr">
        <is>
          <t>O</t>
        </is>
      </c>
      <c r="J17" s="25" t="inlineStr">
        <is>
          <t>Payment of government or regulatory deductions</t>
        </is>
      </c>
      <c r="K17" s="69" t="inlineStr">
        <is>
          <t xml:space="preserve">Deductions or withholdings are calculated correctly and submitted to the appropriate government agency within the local law time frame </t>
        </is>
      </c>
      <c r="L17" s="75" t="n"/>
      <c r="M17" s="69" t="inlineStr">
        <is>
          <t>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required contributions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is>
      </c>
      <c r="N17" s="38" t="n"/>
      <c r="O17" s="38" t="inlineStr">
        <is>
          <t>O</t>
        </is>
      </c>
      <c r="P17" s="38" t="inlineStr">
        <is>
          <t>O</t>
        </is>
      </c>
      <c r="Q17" s="38" t="inlineStr">
        <is>
          <t>O</t>
        </is>
      </c>
      <c r="R17" s="8" t="inlineStr">
        <is>
          <t>Labor</t>
        </is>
      </c>
      <c r="S17" s="8">
        <f>VLOOKUP(B17&amp;D17&amp;R17,[2]Table!$D:$E,2,0)</f>
        <v/>
      </c>
    </row>
    <row r="18" ht="75.59999999999999" customFormat="1" customHeight="1" s="10">
      <c r="A18" s="78" t="inlineStr">
        <is>
          <t>AL5) Non-Discrimination/Humane Treatment</t>
        </is>
      </c>
      <c r="B18" s="9" t="inlineStr">
        <is>
          <t>AL501</t>
        </is>
      </c>
      <c r="C18" s="20" t="inlineStr">
        <is>
          <t>O</t>
        </is>
      </c>
      <c r="D18" s="33" t="inlineStr">
        <is>
          <t>Conformance</t>
        </is>
      </c>
      <c r="E18" s="8">
        <f>IF(AND(D18&lt;&gt;"Conformance", D18&lt;&gt;"N/A"),"X","")</f>
        <v/>
      </c>
      <c r="F18" s="19" t="inlineStr">
        <is>
          <t>X</t>
        </is>
      </c>
      <c r="G18" s="20" t="inlineStr">
        <is>
          <t>Priority</t>
        </is>
      </c>
      <c r="H18" s="9">
        <f>IF(AND(F18="X",G18=D18),"X",IF(AND(F18="X",G18="Major", D18="Priority"),"X",""))</f>
        <v/>
      </c>
      <c r="I18" s="9" t="inlineStr">
        <is>
          <t>O</t>
        </is>
      </c>
      <c r="J18" s="25" t="inlineStr">
        <is>
          <t>Prohibition of discrimination, harassment, inhumane treatment</t>
        </is>
      </c>
      <c r="K18" s="69" t="inlineStr">
        <is>
          <t>No evidence of discrimination, harassment, inhumane treatment, or threat of these exists</t>
        </is>
      </c>
      <c r="L18" s="75" t="n"/>
      <c r="M18" s="69" t="inlineStr">
        <is>
          <t>ㆍPriority : One or more case of inhumane treatment is reported without action taken by Auditee management 
ㆍMajor   : .Less than two (2) inhumane treatment cases are reported with actions still in progress
ㆍMinor   : Less than two (2) inhumane treatment cases were reported with actions completed but no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18" s="38" t="inlineStr">
        <is>
          <t>O</t>
        </is>
      </c>
      <c r="O18" s="38" t="inlineStr">
        <is>
          <t>O</t>
        </is>
      </c>
      <c r="P18" s="38" t="inlineStr">
        <is>
          <t>O</t>
        </is>
      </c>
      <c r="Q18" s="38" t="inlineStr">
        <is>
          <t>O</t>
        </is>
      </c>
      <c r="R18" s="8" t="inlineStr">
        <is>
          <t>Labor</t>
        </is>
      </c>
      <c r="S18" s="8">
        <f>VLOOKUP(B18&amp;D18&amp;R18,[2]Table!$D:$E,2,0)</f>
        <v/>
      </c>
    </row>
    <row r="19" ht="109.35" customFormat="1" customHeight="1" s="10">
      <c r="A19" s="78" t="inlineStr">
        <is>
          <t>AL5) Non-Discrimination/Humane Treatment</t>
        </is>
      </c>
      <c r="B19" s="9" t="inlineStr">
        <is>
          <t>AL502</t>
        </is>
      </c>
      <c r="C19" s="20" t="inlineStr">
        <is>
          <t>O</t>
        </is>
      </c>
      <c r="D19" s="33" t="inlineStr">
        <is>
          <t>Conformance</t>
        </is>
      </c>
      <c r="E19" s="8">
        <f>IF(AND(D19&lt;&gt;"Conformance", D19&lt;&gt;"N/A"),"X","")</f>
        <v/>
      </c>
      <c r="F19" s="19" t="n"/>
      <c r="G19" s="20" t="n"/>
      <c r="H19" s="9">
        <f>IF(AND(F19="X",G19=D19),"X",IF(AND(F19="X",G19="Major", D19="Priority"),"X",""))</f>
        <v/>
      </c>
      <c r="I19" s="9" t="n"/>
      <c r="J19" s="26" t="inlineStr">
        <is>
          <t>Recording and managing disciplinary actions</t>
        </is>
      </c>
      <c r="K19" s="69" t="inlineStr">
        <is>
          <t>Disciplinary actions are recorded and reviewed by management</t>
        </is>
      </c>
      <c r="L19" s="75" t="n"/>
      <c r="M19" s="69" t="inlineStr">
        <is>
          <t>ㆍPriority : An inhumane, discriminatory or harassing disciplinary action 
ㆍMajor   : ① Disciplinary action records are not available
               ② Disciplinary action records are not consistent with company procedures
               ③ Two or more discrimination cases are reported with actions not taken
ㆍMinor   : ① Disciplinary action records are available but workers do not confirm or sign the records/actions
               ② One discrimination case was reported with actions completed but no preventative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19" s="38" t="n"/>
      <c r="O19" s="38" t="inlineStr">
        <is>
          <t>O</t>
        </is>
      </c>
      <c r="P19" s="38" t="inlineStr">
        <is>
          <t>O</t>
        </is>
      </c>
      <c r="Q19" s="38" t="inlineStr">
        <is>
          <t>O</t>
        </is>
      </c>
      <c r="R19" s="8" t="inlineStr">
        <is>
          <t>Labor</t>
        </is>
      </c>
      <c r="S19" s="8">
        <f>VLOOKUP(B19&amp;D19&amp;R19,[2]Table!$D:$E,2,0)</f>
        <v/>
      </c>
    </row>
    <row r="20" ht="109.35" customFormat="1" customHeight="1" s="10">
      <c r="A20" s="78" t="inlineStr">
        <is>
          <t>AL5) Non-Discrimination/Humane Treatment</t>
        </is>
      </c>
      <c r="B20" s="9" t="inlineStr">
        <is>
          <t>AL503</t>
        </is>
      </c>
      <c r="C20" s="20" t="inlineStr">
        <is>
          <t>O</t>
        </is>
      </c>
      <c r="D20" s="33" t="inlineStr">
        <is>
          <t>Conformance</t>
        </is>
      </c>
      <c r="E20" s="8">
        <f>IF(AND(D20&lt;&gt;"Conformance", D20&lt;&gt;"N/A"),"X","")</f>
        <v/>
      </c>
      <c r="F20" s="19" t="n"/>
      <c r="G20" s="20" t="n"/>
      <c r="H20" s="9">
        <f>IF(AND(F20="X",G20=D20),"X",IF(AND(F20="X",G20="Major", D20="Priority"),"X",""))</f>
        <v/>
      </c>
      <c r="I20" s="9" t="n"/>
      <c r="J20" s="26" t="inlineStr">
        <is>
          <t>Provision of prayer space(applicable religion)</t>
        </is>
      </c>
      <c r="K20" s="69" t="inlineStr">
        <is>
          <t xml:space="preserve">Reasonable accommodation for religious practices is provided </t>
        </is>
      </c>
      <c r="L20" s="75" t="n"/>
      <c r="M20" s="69" t="inlineStr">
        <is>
          <t>ㆍPriority : Reasonable Religious Accommodation requests are refused by management without justification
ㆍMajor   : ① No Adequate Reasonable Religious Accommodation in place
              ② Prayer /religious areas are provided but not safe, clean or adequate
              ③ Reasonable Religious Accommodation requests are made but not evaluated or decisions are not communicated to requestor/workers
ㆍMinor   : Reasonable Religious Accommodation records(application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20" s="38" t="inlineStr">
        <is>
          <t>O</t>
        </is>
      </c>
      <c r="O20" s="38" t="inlineStr">
        <is>
          <t>O</t>
        </is>
      </c>
      <c r="P20" s="38" t="inlineStr">
        <is>
          <t>O</t>
        </is>
      </c>
      <c r="Q20" s="38" t="inlineStr">
        <is>
          <t>O</t>
        </is>
      </c>
      <c r="R20" s="8" t="inlineStr">
        <is>
          <t>Labor</t>
        </is>
      </c>
      <c r="S20" s="8">
        <f>VLOOKUP(B20&amp;D20&amp;R20,[2]Table!$D:$E,2,0)</f>
        <v/>
      </c>
    </row>
    <row r="21" ht="109.35" customFormat="1" customHeight="1" s="10">
      <c r="A21" s="78" t="inlineStr">
        <is>
          <t>AL5) Non-Discrimination/Humane Treatment</t>
        </is>
      </c>
      <c r="B21" s="9" t="inlineStr">
        <is>
          <t>AL504</t>
        </is>
      </c>
      <c r="C21" s="20" t="inlineStr">
        <is>
          <t>O</t>
        </is>
      </c>
      <c r="D21" s="33" t="inlineStr">
        <is>
          <t>Conformance</t>
        </is>
      </c>
      <c r="E21" s="8">
        <f>IF(AND(D21&lt;&gt;"Conformance", D21&lt;&gt;"N/A"),"X","")</f>
        <v/>
      </c>
      <c r="F21" s="19" t="n"/>
      <c r="G21" s="20" t="n"/>
      <c r="H21" s="9">
        <f>IF(AND(F21="X",G21=D21),"X",IF(AND(F21="X",G21="Major", D21="Priority"),"X",""))</f>
        <v/>
      </c>
      <c r="I21" s="9" t="n"/>
      <c r="J21" s="26" t="inlineStr">
        <is>
          <t>Provision of disability accomodation</t>
        </is>
      </c>
      <c r="K21" s="69" t="inlineStr">
        <is>
          <t>Reasonable accommodation for disability is provided</t>
        </is>
      </c>
      <c r="L21" s="75" t="n"/>
      <c r="M21" s="69" t="inlineStr">
        <is>
          <t>ㆍPriority : Disability accommodation requests are refused by management without justification
ㆍMajor   : ① No Adequate Reasonable Disability Accommodation in place
              ② Disability accommodations do not  meet minimum needs of people with  disability(ies).
              ③Reasonable Disability Accommodation requests are made but not evaluated or decisions are not communicated to requestor/workers
ㆍMinor   : Reasonable Disability Accommodation records (application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is>
      </c>
      <c r="N21" s="38" t="inlineStr">
        <is>
          <t>O</t>
        </is>
      </c>
      <c r="O21" s="38" t="inlineStr">
        <is>
          <t>O</t>
        </is>
      </c>
      <c r="P21" s="38" t="inlineStr">
        <is>
          <t>O</t>
        </is>
      </c>
      <c r="Q21" s="38" t="inlineStr">
        <is>
          <t>O</t>
        </is>
      </c>
      <c r="R21" s="8" t="inlineStr">
        <is>
          <t>Labor</t>
        </is>
      </c>
      <c r="S21" s="8">
        <f>VLOOKUP(B21&amp;D21&amp;R21,[2]Table!$D:$E,2,0)</f>
        <v/>
      </c>
    </row>
    <row r="22" ht="109.35" customFormat="1" customHeight="1" s="10">
      <c r="A22" s="78" t="inlineStr">
        <is>
          <t>AL6) Freedom of Association and Collective Bargaining</t>
        </is>
      </c>
      <c r="B22" s="9" t="inlineStr">
        <is>
          <t>AL601</t>
        </is>
      </c>
      <c r="C22" s="20" t="inlineStr">
        <is>
          <t>O</t>
        </is>
      </c>
      <c r="D22" s="33" t="inlineStr">
        <is>
          <t>Conformance</t>
        </is>
      </c>
      <c r="E22" s="8">
        <f>IF(AND(D22&lt;&gt;"Conformance", D22&lt;&gt;"N/A"),"X","")</f>
        <v/>
      </c>
      <c r="F22" s="19" t="n"/>
      <c r="G22" s="20" t="n"/>
      <c r="H22" s="9">
        <f>IF(AND(F22="X",G22=D22),"X",IF(AND(F22="X",G22="Major", D22="Priority"),"X",""))</f>
        <v/>
      </c>
      <c r="I22" s="9" t="n"/>
      <c r="J22" s="26" t="inlineStr">
        <is>
          <t>Enrolling in a trade union of worker’s own free will</t>
        </is>
      </c>
      <c r="K22" s="9" t="inlineStr">
        <is>
          <t>Workers can form or enroll in a trade union of their own free will</t>
        </is>
      </c>
      <c r="L22" s="75" t="n"/>
      <c r="M22" s="69" t="inlineStr">
        <is>
          <t>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2" s="38" t="inlineStr">
        <is>
          <t>O</t>
        </is>
      </c>
      <c r="O22" s="38" t="inlineStr">
        <is>
          <t>O</t>
        </is>
      </c>
      <c r="P22" s="38" t="inlineStr">
        <is>
          <t>O</t>
        </is>
      </c>
      <c r="Q22" s="38" t="inlineStr">
        <is>
          <t>O</t>
        </is>
      </c>
      <c r="R22" s="8" t="inlineStr">
        <is>
          <t>Labor</t>
        </is>
      </c>
      <c r="S22" s="8">
        <f>VLOOKUP(B22&amp;D22&amp;R22,[2]Table!$D:$E,2,0)</f>
        <v/>
      </c>
    </row>
    <row r="23" ht="109.35" customFormat="1" customHeight="1" s="10">
      <c r="A23" s="78" t="inlineStr">
        <is>
          <t>AL6) Freedom of Association and Collective Bargaining</t>
        </is>
      </c>
      <c r="B23" s="9" t="inlineStr">
        <is>
          <t>AL602</t>
        </is>
      </c>
      <c r="C23" s="20" t="inlineStr">
        <is>
          <t>O</t>
        </is>
      </c>
      <c r="D23" s="33" t="inlineStr">
        <is>
          <t>Conformance</t>
        </is>
      </c>
      <c r="E23" s="8">
        <f>IF(AND(D23&lt;&gt;"Conformance", D23&lt;&gt;"N/A"),"X","")</f>
        <v/>
      </c>
      <c r="F23" s="19" t="n"/>
      <c r="G23" s="20" t="n"/>
      <c r="H23" s="9">
        <f>IF(AND(F23="X",G23=D23),"X",IF(AND(F23="X",G23="Major", D23="Priority"),"X",""))</f>
        <v/>
      </c>
      <c r="I23" s="9" t="n"/>
      <c r="J23" s="26" t="inlineStr">
        <is>
          <t>Guarantee of the right of collective bargaining</t>
        </is>
      </c>
      <c r="K23" s="69" t="inlineStr">
        <is>
          <t xml:space="preserve">Legal rights of all workers to bargain collectively, or refrain from doing so, are respected </t>
        </is>
      </c>
      <c r="L23" s="75" t="n"/>
      <c r="M23" s="69" t="inlineStr">
        <is>
          <t>ㆍMajor   : ① Material elements of the CBA are not upheld and there is no evidence that management is taking action to remediate
              ② Evidence that the CBA process is prohibited
ㆍMinor   : The content and conditions of a collective agreement are unclear, regarding guaranteeing the right to collective bargaining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3" s="38" t="inlineStr">
        <is>
          <t>O</t>
        </is>
      </c>
      <c r="O23" s="38" t="inlineStr">
        <is>
          <t>O</t>
        </is>
      </c>
      <c r="P23" s="38" t="inlineStr">
        <is>
          <t>O</t>
        </is>
      </c>
      <c r="Q23" s="38" t="inlineStr">
        <is>
          <t>O</t>
        </is>
      </c>
      <c r="R23" s="8" t="inlineStr">
        <is>
          <t>Labor</t>
        </is>
      </c>
      <c r="S23" s="8">
        <f>VLOOKUP(B23&amp;D23&amp;R23,[2]Table!$D:$E,2,0)</f>
        <v/>
      </c>
    </row>
    <row r="24" ht="109.35" customFormat="1" customHeight="1" s="10">
      <c r="A24" s="78" t="inlineStr">
        <is>
          <t>AL6) Freedom of Association and Collective Bargaining</t>
        </is>
      </c>
      <c r="B24" s="9" t="inlineStr">
        <is>
          <t>AL603</t>
        </is>
      </c>
      <c r="C24" s="20" t="inlineStr">
        <is>
          <t>O</t>
        </is>
      </c>
      <c r="D24" s="33" t="inlineStr">
        <is>
          <t>Conformance</t>
        </is>
      </c>
      <c r="E24" s="8">
        <f>IF(AND(D24&lt;&gt;"Conformance", D24&lt;&gt;"N/A"),"X","")</f>
        <v/>
      </c>
      <c r="F24" s="19" t="n"/>
      <c r="G24" s="20" t="n"/>
      <c r="H24" s="9">
        <f>IF(AND(F24="X",G24=D24),"X",IF(AND(F24="X",G24="Major", D24="Priority"),"X",""))</f>
        <v/>
      </c>
      <c r="I24" s="9" t="n"/>
      <c r="J24" s="26" t="inlineStr">
        <is>
          <t>Guarantee of the right of peaceful assembly</t>
        </is>
      </c>
      <c r="K24" s="69" t="inlineStr">
        <is>
          <t>Participants respect the legal right of all workers to peacefully assemble</t>
        </is>
      </c>
      <c r="L24" s="75" t="n"/>
      <c r="M24" s="69" t="inlineStr">
        <is>
          <t>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is>
      </c>
      <c r="N24" s="38" t="inlineStr">
        <is>
          <t>O</t>
        </is>
      </c>
      <c r="O24" s="38" t="inlineStr">
        <is>
          <t>O</t>
        </is>
      </c>
      <c r="P24" s="38" t="inlineStr">
        <is>
          <t>O</t>
        </is>
      </c>
      <c r="Q24" s="38" t="inlineStr">
        <is>
          <t>O</t>
        </is>
      </c>
      <c r="R24" s="8" t="inlineStr">
        <is>
          <t>Labor</t>
        </is>
      </c>
      <c r="S24" s="8">
        <f>VLOOKUP(B24&amp;D24&amp;R24,[2]Table!$D:$E,2,0)</f>
        <v/>
      </c>
    </row>
    <row r="25" ht="109.35" customFormat="1" customHeight="1" s="10">
      <c r="A25" s="78" t="inlineStr">
        <is>
          <t>AM1) Risk Assessment</t>
        </is>
      </c>
      <c r="B25" s="9" t="inlineStr">
        <is>
          <t>AM101</t>
        </is>
      </c>
      <c r="C25" s="20" t="inlineStr">
        <is>
          <t>O</t>
        </is>
      </c>
      <c r="D25" s="33" t="inlineStr">
        <is>
          <t>Conformance</t>
        </is>
      </c>
      <c r="E25" s="8">
        <f>IF(AND(D25&lt;&gt;"Conformance", D25&lt;&gt;"N/A"),"X","")</f>
        <v/>
      </c>
      <c r="F25" s="19" t="n"/>
      <c r="G25" s="20" t="n"/>
      <c r="H25" s="9">
        <f>IF(AND(F25="X",G25=D25),"X",IF(AND(F25="X",G25="Major", D25="Priority"),"X",""))</f>
        <v/>
      </c>
      <c r="I25" s="9" t="n"/>
      <c r="J25" s="26" t="inlineStr">
        <is>
          <t>Compliance process of Legal/Customer Requirements</t>
        </is>
      </c>
      <c r="K25" s="69" t="inlineStr">
        <is>
          <t xml:space="preserve">An adequate and effective labor compliance process is established to monitor, identify, understand, and ensure compliance with  applicable
     laws, regulations, and customer requirements
</t>
        </is>
      </c>
      <c r="L25" s="75" t="n"/>
      <c r="M25" s="117" t="inlineStr">
        <is>
          <t>ㆍPriority : Imminent and significant impact are confirmed on facility, life, limb or community without risk assessment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25" s="38" t="n"/>
      <c r="O25" s="38" t="inlineStr">
        <is>
          <t>O</t>
        </is>
      </c>
      <c r="P25" s="38" t="inlineStr">
        <is>
          <t>O</t>
        </is>
      </c>
      <c r="Q25" s="38" t="inlineStr">
        <is>
          <t>O</t>
        </is>
      </c>
      <c r="R25" s="8" t="inlineStr">
        <is>
          <t>Labor</t>
        </is>
      </c>
      <c r="S25" s="8">
        <f>VLOOKUP(B25&amp;D25&amp;R25,[2]Table!$D:$E,2,0)</f>
        <v/>
      </c>
    </row>
    <row r="26" ht="109.35" customFormat="1" customHeight="1" s="10">
      <c r="A26" s="78" t="inlineStr">
        <is>
          <t>AM1) Risk Assessment</t>
        </is>
      </c>
      <c r="B26" s="9" t="inlineStr">
        <is>
          <t>AM102</t>
        </is>
      </c>
      <c r="C26" s="20" t="inlineStr">
        <is>
          <t>O</t>
        </is>
      </c>
      <c r="D26" s="33" t="inlineStr">
        <is>
          <t>Conformance</t>
        </is>
      </c>
      <c r="E26" s="8">
        <f>IF(AND(D26&lt;&gt;"Conformance", D26&lt;&gt;"N/A"),"X","")</f>
        <v/>
      </c>
      <c r="F26" s="19" t="n"/>
      <c r="G26" s="20" t="n"/>
      <c r="H26" s="9">
        <f>IF(AND(F26="X",G26=D26),"X",IF(AND(F26="X",G26="Major", D26="Priority"),"X",""))</f>
        <v/>
      </c>
      <c r="I26" s="9" t="n"/>
      <c r="J26" s="26" t="inlineStr">
        <is>
          <t>Due diligence Process</t>
        </is>
      </c>
      <c r="K26" s="25" t="inlineStr">
        <is>
          <t xml:space="preserve">An adequate and effective due diligence process is established to identify and assess the most significant actual and potential  labor risks 
     where the facility caused or contributed to adverse labor impacts (including applicable requirements).
</t>
        </is>
      </c>
      <c r="L26" s="75" t="n"/>
      <c r="M26" s="117" t="inlineStr">
        <is>
          <t>ㆍPriority : Imminent and significant impact are confirmed on facility, life, limb or community without due diligence activities
ㆍMajor   : ① Two or more of minimum requirement elements are missing or ineffective
               ② No due diligence process adequate for the scope and nature of the operations and no controls in place 
ㆍMinor  :  ① One of minimum requirement elements is missing or ineffective, or a system element is not adequately documented or is prohibited
               ② Due diligence process adequate for the scope and nature of the operations AND due diligence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26" s="38" t="n"/>
      <c r="O26" s="38" t="inlineStr">
        <is>
          <t>O</t>
        </is>
      </c>
      <c r="P26" s="38" t="inlineStr">
        <is>
          <t>O</t>
        </is>
      </c>
      <c r="Q26" s="38" t="inlineStr">
        <is>
          <t>O</t>
        </is>
      </c>
      <c r="R26" s="8" t="inlineStr">
        <is>
          <t>Labor</t>
        </is>
      </c>
      <c r="S26" s="8">
        <f>VLOOKUP(B26&amp;D26&amp;R26,[2]Table!$D:$E,2,0)</f>
        <v/>
      </c>
    </row>
    <row r="27" ht="109.35" customFormat="1" customHeight="1" s="10">
      <c r="A27" s="78" t="inlineStr">
        <is>
          <t>AM2) Control processes</t>
        </is>
      </c>
      <c r="B27" s="9" t="inlineStr">
        <is>
          <t>AM201</t>
        </is>
      </c>
      <c r="C27" s="20" t="inlineStr">
        <is>
          <t>O</t>
        </is>
      </c>
      <c r="D27" s="33" t="inlineStr">
        <is>
          <t>Conformance</t>
        </is>
      </c>
      <c r="E27" s="8">
        <f>IF(AND(D27&lt;&gt;"Conformance", D27&lt;&gt;"N/A"),"X","")</f>
        <v/>
      </c>
      <c r="F27" s="19" t="n"/>
      <c r="G27" s="20" t="n"/>
      <c r="H27" s="9">
        <f>IF(AND(F27="X",G27=D27),"X",IF(AND(F27="X",G27="Major", D27="Priority"),"X",""))</f>
        <v/>
      </c>
      <c r="I27" s="9" t="n"/>
      <c r="J27" s="26" t="inlineStr">
        <is>
          <t>Assigning responsibilities and authorities for all workers(Senior manager to workers)</t>
        </is>
      </c>
      <c r="K27" s="25" t="inlineStr">
        <is>
          <t>Labor responsibilities and authorities are adequately and effectively defined and assigned for all employee levels (senior  managers to workers) 
     for the implementation of management systems, and for compliance with laws, regulations, and codes</t>
        </is>
      </c>
      <c r="L27" s="75" t="n"/>
      <c r="M27" s="117" t="inlineStr">
        <is>
          <t>ㆍPriority : Imminent and significant impact are confirmed on facility, life, limb or community without action
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7" s="38" t="n"/>
      <c r="O27" s="38" t="inlineStr">
        <is>
          <t>O</t>
        </is>
      </c>
      <c r="P27" s="38" t="inlineStr">
        <is>
          <t>O</t>
        </is>
      </c>
      <c r="Q27" s="38" t="inlineStr">
        <is>
          <t>O</t>
        </is>
      </c>
      <c r="R27" s="8" t="inlineStr">
        <is>
          <t>Labor</t>
        </is>
      </c>
      <c r="S27" s="8">
        <f>VLOOKUP(B27&amp;D27&amp;R27,[2]Table!$D:$E,2,0)</f>
        <v/>
      </c>
    </row>
    <row r="28" ht="168" customFormat="1" customHeight="1" s="10">
      <c r="A28" s="78" t="inlineStr">
        <is>
          <t>AM2) Control processes</t>
        </is>
      </c>
      <c r="B28" s="9" t="inlineStr">
        <is>
          <t>AM202</t>
        </is>
      </c>
      <c r="C28" s="20" t="inlineStr">
        <is>
          <t>O</t>
        </is>
      </c>
      <c r="D28" s="33" t="inlineStr">
        <is>
          <t>Minor</t>
        </is>
      </c>
      <c r="E28" s="8">
        <f>IF(AND(D28&lt;&gt;"Conformance", D28&lt;&gt;"N/A"),"X","")</f>
        <v/>
      </c>
      <c r="F28" s="19" t="n"/>
      <c r="G28" s="20" t="n"/>
      <c r="H28" s="9">
        <f>IF(AND(F28="X",G28=D28),"X",IF(AND(F28="X",G28="Major", D28="Priority"),"X",""))</f>
        <v/>
      </c>
      <c r="I28" s="9" t="n"/>
      <c r="J28" s="26" t="inlineStr">
        <is>
          <t>Policies and Control Process</t>
        </is>
      </c>
      <c r="K28" s="25" t="inlineStr">
        <is>
          <t>Adequate and effective labor policies and control processes are established</t>
        </is>
      </c>
      <c r="L28" s="209" t="inlineStr">
        <is>
          <r>
            <rPr>
              <rFont val="Calibri"/>
              <b val="1"/>
              <sz val="10"/>
            </rPr>
            <t xml:space="preserve">AUDIT FINDINGS (ENGLISH)
</t>
          </r>
          <r>
            <rPr>
              <rFont val="Calibri"/>
              <sz val="10"/>
            </rPr>
            <t xml:space="preserve">1. The company did not effectively control working time, leading to violations of weekly holidays
</t>
          </r>
          <r>
            <rPr>
              <rFont val="Calibri"/>
              <sz val="10"/>
            </rPr>
            <t>
</t>
          </r>
          <r>
            <rPr>
              <rFont val="Calibri"/>
              <b val="1"/>
              <sz val="10"/>
            </rPr>
            <t xml:space="preserve">Legal references:
</t>
          </r>
          <r>
            <rPr>
              <rFont val="Calibri"/>
              <sz val="10"/>
            </rPr>
            <t xml:space="preserve">1. RBA Code of Conduct, Version 8.0.1, Section A.M.2.2: Labor Management System
</t>
          </r>
          <r>
            <rPr>
              <rFont val="Calibri"/>
              <sz val="10"/>
            </rPr>
            <t xml:space="preserve">---------------------------------------
</t>
          </r>
          <r>
            <rPr>
              <rFont val="Calibri"/>
              <b val="1"/>
              <sz val="10"/>
            </rPr>
            <t xml:space="preserve">NỘI DUNG ĐÁNH GIÁ (TIẾNG VIỆT)
</t>
          </r>
          <r>
            <rPr>
              <rFont val="Calibri"/>
              <sz val="10"/>
            </rPr>
            <t xml:space="preserve">1. Công ty chưa kiểm soát hiệu quả thời gian làm việc dẫn đến vi phạm lỗi ngày nghỉ tuần
</t>
          </r>
          <r>
            <rPr>
              <rFont val="Calibri"/>
              <sz val="10"/>
            </rPr>
            <t>
</t>
          </r>
          <r>
            <rPr>
              <rFont val="Calibri"/>
              <b val="1"/>
              <sz val="10"/>
            </rPr>
            <t xml:space="preserve">Căn cứ pháp lý:
</t>
          </r>
          <r>
            <rPr>
              <rFont val="Calibri"/>
              <sz val="10"/>
            </rPr>
            <t>1. Bộ Quy tắc Ứng xử RBA phiên bản 8.0.1, Mục A.M.2.2: Hệ thống quản lý lao động</t>
          </r>
        </is>
      </c>
      <c r="M28" s="117" t="inlineStr">
        <is>
          <t>ㆍPriority : Imminent and significant impact are confirmed on facility, life, limb or community without action
ㆍMajor   : ① Two or more of minimum requirement elements are missing or ineffective
               ② Time records are not accurately adjusted  after worker grievance
               ③ If the working hour controls are found to  be in non-conformance (minor, major or  priority finding in AL301, and/or minor, major  
                   or priority in AL302), then major finding
               ④ Time records do not match other relevant  Auditee records &gt;5% of population
ㆍMinor  :  ① One of minimum requirement elements is missing or ineffective, or a system element is not adequately documented or is prohibited
               ② Time records not matching other relevant Auditee records for &gt;1% to ≤5% of population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8" s="38" t="inlineStr">
        <is>
          <t>O</t>
        </is>
      </c>
      <c r="O28" s="38" t="inlineStr">
        <is>
          <t>O</t>
        </is>
      </c>
      <c r="P28" s="38" t="inlineStr">
        <is>
          <t>O</t>
        </is>
      </c>
      <c r="Q28" s="38" t="inlineStr">
        <is>
          <t>O</t>
        </is>
      </c>
      <c r="R28" s="8" t="inlineStr">
        <is>
          <t>Labor</t>
        </is>
      </c>
      <c r="S28" s="8">
        <f>VLOOKUP(B28&amp;D28&amp;R28,[2]Table!$D:$E,2,0)</f>
        <v/>
      </c>
    </row>
    <row r="29" ht="109.35" customFormat="1" customHeight="1" s="10">
      <c r="A29" s="78" t="inlineStr">
        <is>
          <t>AM2) Control processes</t>
        </is>
      </c>
      <c r="B29" s="9" t="inlineStr">
        <is>
          <t>AM203</t>
        </is>
      </c>
      <c r="C29" s="20" t="inlineStr">
        <is>
          <t>O</t>
        </is>
      </c>
      <c r="D29" s="33" t="inlineStr">
        <is>
          <t>Conformance</t>
        </is>
      </c>
      <c r="E29" s="8">
        <f>IF(AND(D29&lt;&gt;"Conformance", D29&lt;&gt;"N/A"),"X","")</f>
        <v/>
      </c>
      <c r="F29" s="19" t="n"/>
      <c r="G29" s="20" t="n"/>
      <c r="H29" s="9">
        <f>IF(AND(F29="X",G29=D29),"X",IF(AND(F29="X",G29="Major", D29="Priority"),"X",""))</f>
        <v/>
      </c>
      <c r="I29" s="9" t="n"/>
      <c r="J29" s="26" t="inlineStr">
        <is>
          <t>Training process</t>
        </is>
      </c>
      <c r="K29" s="9" t="inlineStr">
        <is>
          <t>An adequate and effective labor training process is established for all managers/workers on all policy/process/job-related  aspects and performance targets</t>
        </is>
      </c>
      <c r="L29" s="75" t="n"/>
      <c r="M29" s="117" t="inlineStr">
        <is>
          <t>ㆍPriority : Workers not trained before starting work
ㆍMajor   : ① Two or more of minimum requirement elements are missing or ineffective
               ② &gt;5% of workers not trained within 30 days of the hire date
ㆍMinor  :  ① One of minimum requirement elements is missing or ineffective, or a system element is not adequately documented or is prohibited 
               ② One focus area is missing in the communications (policy, performance, practice, expectations)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29" s="38" t="n"/>
      <c r="O29" s="38" t="inlineStr">
        <is>
          <t>O</t>
        </is>
      </c>
      <c r="P29" s="38" t="inlineStr">
        <is>
          <t>O</t>
        </is>
      </c>
      <c r="Q29" s="38" t="inlineStr">
        <is>
          <t>O</t>
        </is>
      </c>
      <c r="R29" s="8" t="inlineStr">
        <is>
          <t>Labor</t>
        </is>
      </c>
      <c r="S29" s="8">
        <f>VLOOKUP(B29&amp;D29&amp;R29,[2]Table!$D:$E,2,0)</f>
        <v/>
      </c>
    </row>
    <row r="30" ht="109.35" customFormat="1" customHeight="1" s="10">
      <c r="A30" s="78" t="inlineStr">
        <is>
          <t>AM3) Communications</t>
        </is>
      </c>
      <c r="B30" s="9" t="inlineStr">
        <is>
          <t>AM301</t>
        </is>
      </c>
      <c r="C30" s="20" t="inlineStr">
        <is>
          <t>O</t>
        </is>
      </c>
      <c r="D30" s="33" t="inlineStr">
        <is>
          <t>Conformance</t>
        </is>
      </c>
      <c r="E30" s="8">
        <f>IF(AND(D30&lt;&gt;"Conformance", D30&lt;&gt;"N/A"),"X","")</f>
        <v/>
      </c>
      <c r="F30" s="19" t="n"/>
      <c r="G30" s="20" t="n"/>
      <c r="H30" s="9">
        <f>IF(AND(F30="X",G30=D30),"X",IF(AND(F30="X",G30="Major", D30="Priority"),"X",""))</f>
        <v/>
      </c>
      <c r="I30" s="9" t="n"/>
      <c r="J30" s="26" t="inlineStr">
        <is>
          <t>Worker, stakeholder communication</t>
        </is>
      </c>
      <c r="K30" s="9" t="inlineStr">
        <is>
          <t xml:space="preserve">An adequate and effective ongoing two-way communication process with workers, and internal and external stakeholders, where  relevant or
     necessary, is established to obtain feedback on operational labor practices and conditions and to foster continuous  improvement
</t>
        </is>
      </c>
      <c r="L30" s="75" t="n"/>
      <c r="M30" s="117" t="inlineStr">
        <is>
          <t>ㆍPriority : Imminent and significant impact are confirmed on facility, life, limb or community without action
ㆍMajor   : ① Two or more of minimum requirement elements are missing or ineffective
               ② Two or more focus areas are missing in the communications (policy, performance, practice, expectations)
ㆍMinor  :  ① One of minimum requirement elements is missing or ineffective, or a system element is not adequately documented or is prohibited 
               ② One focus area is missing in the communications (policy, performance, practice, expectations)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30" s="38" t="inlineStr">
        <is>
          <t>O</t>
        </is>
      </c>
      <c r="O30" s="38" t="inlineStr">
        <is>
          <t>O</t>
        </is>
      </c>
      <c r="P30" s="38" t="inlineStr">
        <is>
          <t>O</t>
        </is>
      </c>
      <c r="Q30" s="38" t="inlineStr">
        <is>
          <t>O</t>
        </is>
      </c>
      <c r="R30" s="8" t="inlineStr">
        <is>
          <t>Labor</t>
        </is>
      </c>
      <c r="S30" s="8">
        <f>VLOOKUP(B30&amp;D30&amp;R30,[2]Table!$D:$E,2,0)</f>
        <v/>
      </c>
    </row>
    <row r="31" ht="85.2" customFormat="1" customHeight="1" s="10">
      <c r="A31" s="78" t="inlineStr">
        <is>
          <t>AM3) Communications</t>
        </is>
      </c>
      <c r="B31" s="9" t="inlineStr">
        <is>
          <t>AM302</t>
        </is>
      </c>
      <c r="C31" s="20" t="inlineStr">
        <is>
          <t>O</t>
        </is>
      </c>
      <c r="D31" s="33" t="inlineStr">
        <is>
          <t>Conformance</t>
        </is>
      </c>
      <c r="E31" s="8">
        <f>IF(AND(D31&lt;&gt;"Conformance", D31&lt;&gt;"N/A"),"X","")</f>
        <v/>
      </c>
      <c r="F31" s="19" t="n"/>
      <c r="G31" s="20" t="n"/>
      <c r="H31" s="9">
        <f>IF(AND(F31="X",G31=D31),"X",IF(AND(F31="X",G31="Major", D31="Priority"),"X",""))</f>
        <v/>
      </c>
      <c r="I31" s="9" t="n"/>
      <c r="J31" s="26" t="inlineStr">
        <is>
          <t>Worker grievance/complaint process</t>
        </is>
      </c>
      <c r="K31" s="9" t="inlineStr">
        <is>
          <t>An adequate and effective process is established to anonymously report labor grievances confidentially without fear of reprisal or  intimidation</t>
        </is>
      </c>
      <c r="L31" s="75" t="n"/>
      <c r="M31" s="117" t="inlineStr">
        <is>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31" s="38" t="inlineStr">
        <is>
          <t>O</t>
        </is>
      </c>
      <c r="O31" s="38" t="inlineStr">
        <is>
          <t>O</t>
        </is>
      </c>
      <c r="P31" s="38" t="inlineStr">
        <is>
          <t>O</t>
        </is>
      </c>
      <c r="Q31" s="38" t="inlineStr">
        <is>
          <t>O</t>
        </is>
      </c>
      <c r="R31" s="8" t="inlineStr">
        <is>
          <t>Labor</t>
        </is>
      </c>
      <c r="S31" s="8">
        <f>VLOOKUP(B31&amp;D31&amp;R31,[2]Table!$D:$E,2,0)</f>
        <v/>
      </c>
    </row>
    <row r="32" ht="109.35" customFormat="1" customHeight="1" s="10">
      <c r="A32" s="78" t="inlineStr">
        <is>
          <t>AM4) Performance Review and Continuous Improvement</t>
        </is>
      </c>
      <c r="B32" s="9" t="inlineStr">
        <is>
          <t>AM401</t>
        </is>
      </c>
      <c r="C32" s="20" t="inlineStr">
        <is>
          <t>O</t>
        </is>
      </c>
      <c r="D32" s="33" t="inlineStr">
        <is>
          <t>Conformance</t>
        </is>
      </c>
      <c r="E32" s="8">
        <f>IF(AND(D32&lt;&gt;"Conformance", D32&lt;&gt;"N/A"),"X","")</f>
        <v/>
      </c>
      <c r="F32" s="19" t="n"/>
      <c r="G32" s="20" t="n"/>
      <c r="H32" s="9">
        <f>IF(AND(F32="X",G32=D32),"X",IF(AND(F32="X",G32="Major", D32="Priority"),"X",""))</f>
        <v/>
      </c>
      <c r="I32" s="9" t="n"/>
      <c r="J32" s="26" t="inlineStr">
        <is>
          <t>Performance Review and Continuous Improvement</t>
        </is>
      </c>
      <c r="K32" s="9" t="inlineStr">
        <is>
          <t>An adequate and effective labor management performance review and continuous improvement process is established</t>
        </is>
      </c>
      <c r="L32" s="75" t="n"/>
      <c r="M32" s="117" t="inlineStr">
        <is>
          <t>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2" s="38" t="n"/>
      <c r="O32" s="38" t="inlineStr">
        <is>
          <t>O</t>
        </is>
      </c>
      <c r="P32" s="38" t="inlineStr">
        <is>
          <t>O</t>
        </is>
      </c>
      <c r="Q32" s="38" t="inlineStr">
        <is>
          <t>O</t>
        </is>
      </c>
      <c r="R32" s="8" t="inlineStr">
        <is>
          <t>Labor</t>
        </is>
      </c>
      <c r="S32" s="8">
        <f>VLOOKUP(B32&amp;D32&amp;R32,[2]Table!$D:$E,2,0)</f>
        <v/>
      </c>
    </row>
    <row r="33" ht="109.35" customFormat="1" customHeight="1" s="11">
      <c r="A33" s="78" t="inlineStr">
        <is>
          <t>AM4) Performance Review and Continuous Improvement</t>
        </is>
      </c>
      <c r="B33" s="9" t="inlineStr">
        <is>
          <t>AM402</t>
        </is>
      </c>
      <c r="C33" s="20" t="inlineStr">
        <is>
          <t>O</t>
        </is>
      </c>
      <c r="D33" s="33" t="inlineStr">
        <is>
          <t>Conformance</t>
        </is>
      </c>
      <c r="E33" s="8">
        <f>IF(AND(D33&lt;&gt;"Conformance", D33&lt;&gt;"N/A"),"X","")</f>
        <v/>
      </c>
      <c r="F33" s="19" t="n"/>
      <c r="G33" s="20" t="n"/>
      <c r="H33" s="9">
        <f>IF(AND(F33="X",G33=D33),"X",IF(AND(F33="X",G33="Major", D33="Priority"),"X",""))</f>
        <v/>
      </c>
      <c r="I33" s="9" t="n"/>
      <c r="J33" s="26" t="inlineStr">
        <is>
          <t>Self-audit process</t>
        </is>
      </c>
      <c r="K33" s="69" t="inlineStr">
        <is>
          <t>An adequate and effective labor self-audit process is established to assess conformance with the RBA Code and customer  requirements periodically</t>
        </is>
      </c>
      <c r="L33" s="75" t="n"/>
      <c r="M33" s="117" t="inlineStr">
        <is>
          <t>ㆍMajor   : ① No Audits carried out
               ② Two or more of minimum requirement elements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3" s="38" t="n"/>
      <c r="O33" s="38" t="inlineStr">
        <is>
          <t>O</t>
        </is>
      </c>
      <c r="P33" s="38" t="inlineStr">
        <is>
          <t>O</t>
        </is>
      </c>
      <c r="Q33" s="38" t="n"/>
      <c r="R33" s="8" t="inlineStr">
        <is>
          <t>Labor</t>
        </is>
      </c>
      <c r="S33" s="8">
        <f>VLOOKUP(B33&amp;D33&amp;R33,[2]Table!$D:$E,2,0)</f>
        <v/>
      </c>
    </row>
    <row r="34" ht="109.35" customFormat="1" customHeight="1" s="11">
      <c r="A34" s="78" t="inlineStr">
        <is>
          <t>AM4) Performance Review and Continuous Improvement</t>
        </is>
      </c>
      <c r="B34" s="9" t="inlineStr">
        <is>
          <t>AM403</t>
        </is>
      </c>
      <c r="C34" s="20" t="inlineStr">
        <is>
          <t>O</t>
        </is>
      </c>
      <c r="D34" s="33" t="inlineStr">
        <is>
          <t>Conformance</t>
        </is>
      </c>
      <c r="E34" s="8">
        <f>IF(AND(D34&lt;&gt;"Conformance", D34&lt;&gt;"N/A"),"X","")</f>
        <v/>
      </c>
      <c r="F34" s="19" t="n"/>
      <c r="G34" s="20" t="n"/>
      <c r="H34" s="9">
        <f>IF(AND(F34="X",G34=D34),"X",IF(AND(F34="X",G34="Major", D34="Priority"),"X",""))</f>
        <v/>
      </c>
      <c r="I34" s="9" t="n"/>
      <c r="J34" s="26" t="inlineStr">
        <is>
          <t>Corrective action process</t>
        </is>
      </c>
      <c r="K34" s="69" t="inlineStr">
        <is>
          <t xml:space="preserve">An adequate and effective labor corrective action process is established to rectify and close non-conformances
</t>
        </is>
      </c>
      <c r="L34" s="75" t="n"/>
      <c r="M34" s="117" t="inlineStr">
        <is>
          <t>ㆍMajor   : ① Two or more of minimum requirement elements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34" s="38" t="n"/>
      <c r="O34" s="38" t="inlineStr">
        <is>
          <t>O</t>
        </is>
      </c>
      <c r="P34" s="38" t="inlineStr">
        <is>
          <t>O</t>
        </is>
      </c>
      <c r="Q34" s="38" t="inlineStr">
        <is>
          <t>O</t>
        </is>
      </c>
      <c r="R34" s="8" t="inlineStr">
        <is>
          <t>Labor</t>
        </is>
      </c>
      <c r="S34" s="8">
        <f>VLOOKUP(B34&amp;D34&amp;R34,[2]Table!$D:$E,2,0)</f>
        <v/>
      </c>
    </row>
    <row r="35" ht="109.35" customFormat="1" customHeight="1" s="12">
      <c r="A35" s="13" t="inlineStr">
        <is>
          <t>DE1) Business Integrity and No Improper Advantage</t>
        </is>
      </c>
      <c r="B35" s="9" t="inlineStr">
        <is>
          <t>DE101</t>
        </is>
      </c>
      <c r="C35" s="20" t="inlineStr">
        <is>
          <t>O</t>
        </is>
      </c>
      <c r="D35" s="33" t="inlineStr">
        <is>
          <t>Conformance</t>
        </is>
      </c>
      <c r="E35" s="8">
        <f>IF(AND(D35&lt;&gt;"Conformance", D35&lt;&gt;"N/A"),"X","")</f>
        <v/>
      </c>
      <c r="F35" s="19" t="n"/>
      <c r="G35" s="20" t="n"/>
      <c r="H35" s="9">
        <f>IF(AND(F35="X",G35=D35),"X",IF(AND(F35="X",G35="Major", D35="Priority"),"X",""))</f>
        <v/>
      </c>
      <c r="I35" s="9" t="n"/>
      <c r="J35" s="26" t="inlineStr">
        <is>
          <t>Prohibition of bribery and improper advantage</t>
        </is>
      </c>
      <c r="K35" s="69" t="inlineStr">
        <is>
          <t>No identified risk or evidence of bribes or obtaining undue or improper advantage being promised, offered, authorized, given, or  accepted</t>
        </is>
      </c>
      <c r="L35" s="75" t="n"/>
      <c r="M35" s="117" t="inlineStr">
        <is>
          <t>ㆍPriority : A confirmed case of bribery, improper advantage, corruption, extortion, or embezzlement without a corrective action plan
ㆍMajor   : No detailed and understandable gift or similar policy and procedures implemented
ㆍMinor   : Partial policy or procedures or implementation
※ Required Documents and Records
    - Policy that ensures gifts to or from suppliers and customers is not excessive in cost and frequency and hospitality, expenses or promises
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t>
        </is>
      </c>
      <c r="N35" s="38" t="n"/>
      <c r="O35" s="38" t="inlineStr">
        <is>
          <t>O</t>
        </is>
      </c>
      <c r="P35" s="38" t="inlineStr">
        <is>
          <t>O</t>
        </is>
      </c>
      <c r="Q35" s="38" t="inlineStr">
        <is>
          <t>O</t>
        </is>
      </c>
      <c r="R35" s="8" t="inlineStr">
        <is>
          <t>Labor</t>
        </is>
      </c>
      <c r="S35" s="8">
        <f>VLOOKUP(B35&amp;D35&amp;R35,[2]Table!$D:$E,2,0)</f>
        <v/>
      </c>
    </row>
    <row r="36" ht="109.35" customFormat="1" customHeight="1" s="12">
      <c r="A36" s="13" t="inlineStr">
        <is>
          <t>DE2) Disclosure of Information</t>
        </is>
      </c>
      <c r="B36" s="9" t="inlineStr">
        <is>
          <t>DE201</t>
        </is>
      </c>
      <c r="C36" s="20" t="inlineStr">
        <is>
          <t>O</t>
        </is>
      </c>
      <c r="D36" s="33" t="inlineStr">
        <is>
          <t>Conformance</t>
        </is>
      </c>
      <c r="E36" s="8">
        <f>IF(AND(D36&lt;&gt;"Conformance", D36&lt;&gt;"N/A"),"X","")</f>
        <v/>
      </c>
      <c r="F36" s="19" t="n"/>
      <c r="G36" s="20" t="n"/>
      <c r="H36" s="9">
        <f>IF(AND(F36="X",G36=D36),"X",IF(AND(F36="X",G36="Major", D36="Priority"),"X",""))</f>
        <v/>
      </c>
      <c r="I36" s="9" t="n"/>
      <c r="J36" s="26" t="inlineStr">
        <is>
          <t>Prohibition of record falsification and misrepresentation</t>
        </is>
      </c>
      <c r="K36" s="69" t="inlineStr">
        <is>
          <t>No evidence of misreporting, record falsification, misrepresentation, or evidence of communicating inaccurate information to the  public</t>
        </is>
      </c>
      <c r="L36" s="75" t="n"/>
      <c r="M36" s="117" t="inlineStr">
        <is>
          <t>ㆍPriority : Records are deliberately misleading
ㆍMajor   : No detailed and understandable gift or similar policy and procedures implemented
ㆍMinor   : Partial policy or procedures or implementation
※ Required Documents and Records
    - Non-disclosure agreement template/form
    - Non-disclosure agreements with suppliers and customers
    - Non-disclosure agreements with service providers</t>
        </is>
      </c>
      <c r="N36" s="38" t="inlineStr">
        <is>
          <t>O</t>
        </is>
      </c>
      <c r="O36" s="38" t="inlineStr">
        <is>
          <t>O</t>
        </is>
      </c>
      <c r="P36" s="38" t="inlineStr">
        <is>
          <t>O</t>
        </is>
      </c>
      <c r="Q36" s="38" t="inlineStr">
        <is>
          <t>O</t>
        </is>
      </c>
      <c r="R36" s="8" t="inlineStr">
        <is>
          <t>Labor</t>
        </is>
      </c>
      <c r="S36" s="8">
        <f>VLOOKUP(B36&amp;D36&amp;R36,[2]Table!$D:$E,2,0)</f>
        <v/>
      </c>
    </row>
    <row r="37" ht="109.35" customFormat="1" customHeight="1" s="12">
      <c r="A37" s="13" t="inlineStr">
        <is>
          <t>DE3) Intellectual Property</t>
        </is>
      </c>
      <c r="B37" s="9" t="inlineStr">
        <is>
          <t>DE301</t>
        </is>
      </c>
      <c r="C37" s="20" t="inlineStr">
        <is>
          <t>O</t>
        </is>
      </c>
      <c r="D37" s="33" t="inlineStr">
        <is>
          <t>Conformance</t>
        </is>
      </c>
      <c r="E37" s="8">
        <f>IF(AND(D37&lt;&gt;"Conformance", D37&lt;&gt;"N/A"),"X","")</f>
        <v/>
      </c>
      <c r="F37" s="19" t="n"/>
      <c r="G37" s="20" t="n"/>
      <c r="H37" s="9">
        <f>IF(AND(F37="X",G37=D37),"X",IF(AND(F37="X",G37="Major", D37="Priority"),"X",""))</f>
        <v/>
      </c>
      <c r="I37" s="9" t="n"/>
      <c r="J37" s="26" t="inlineStr">
        <is>
          <t>Intellectual property protection</t>
        </is>
      </c>
      <c r="K37" s="69" t="inlineStr">
        <is>
          <t xml:space="preserve">No evidence of Intellectual Property or business information loss or unauthorized disclosure (the Auditee’s own and that of their
     customers/suppliers).
</t>
        </is>
      </c>
      <c r="L37" s="75" t="n"/>
      <c r="M37" s="117" t="inlineStr">
        <is>
          <t>ㆍPriority : IP is not protected
ㆍMajor   : No detailed and understandable gift or similar policy and procedures implemented
ㆍMinor   : Partial policy or procedures or implementation
※ Required Documents and Records
    - Intellectual property review and protection policies</t>
        </is>
      </c>
      <c r="N37" s="38" t="inlineStr">
        <is>
          <t>O</t>
        </is>
      </c>
      <c r="O37" s="38" t="inlineStr">
        <is>
          <t>O</t>
        </is>
      </c>
      <c r="P37" s="38" t="inlineStr">
        <is>
          <t>O</t>
        </is>
      </c>
      <c r="Q37" s="38" t="inlineStr">
        <is>
          <t>O</t>
        </is>
      </c>
      <c r="R37" s="8" t="inlineStr">
        <is>
          <t>Labor</t>
        </is>
      </c>
      <c r="S37" s="8">
        <f>VLOOKUP(B37&amp;D37&amp;R37,[2]Table!$D:$E,2,0)</f>
        <v/>
      </c>
    </row>
    <row r="38" ht="109.35" customFormat="1" customHeight="1" s="12">
      <c r="A38" s="13" t="inlineStr">
        <is>
          <t>DE4) Fair Business, Advertising and Competition</t>
        </is>
      </c>
      <c r="B38" s="9" t="inlineStr">
        <is>
          <t>DE401</t>
        </is>
      </c>
      <c r="C38" s="20" t="inlineStr">
        <is>
          <t>O</t>
        </is>
      </c>
      <c r="D38" s="33" t="inlineStr">
        <is>
          <t>Conformance</t>
        </is>
      </c>
      <c r="E38" s="8">
        <f>IF(AND(D38&lt;&gt;"Conformance", D38&lt;&gt;"N/A"),"X","")</f>
        <v/>
      </c>
      <c r="F38" s="19" t="n"/>
      <c r="G38" s="20" t="n"/>
      <c r="H38" s="9">
        <f>IF(AND(F38="X",G38=D38),"X",IF(AND(F38="X",G38="Major", D38="Priority"),"X",""))</f>
        <v/>
      </c>
      <c r="I38" s="9" t="n"/>
      <c r="J38" s="26" t="inlineStr">
        <is>
          <t>Compliance of Fair Business, Advertising and Competition</t>
        </is>
      </c>
      <c r="K38" s="69" t="inlineStr">
        <is>
          <t xml:space="preserve">No identified risk or evidence of non-conformance with fair business, advertising and competition standards </t>
        </is>
      </c>
      <c r="L38" s="75" t="n"/>
      <c r="M38" s="117" t="inlineStr">
        <is>
          <t>ㆍMajor   : No detailed and understandable gift or similar policy and procedures implemented
ㆍMinor   : Partial policy or procedures or implementation
※ Required Documents and Records
    - Annual financial report independently assessed by financial assessment firm
    - Fair business / anti collusion policy
    - Advertising policy/communications policy
    - Advert/job advert</t>
        </is>
      </c>
      <c r="N38" s="38" t="n"/>
      <c r="O38" s="38" t="inlineStr">
        <is>
          <t>O</t>
        </is>
      </c>
      <c r="P38" s="38" t="inlineStr">
        <is>
          <t>O</t>
        </is>
      </c>
      <c r="Q38" s="38" t="inlineStr">
        <is>
          <t>O</t>
        </is>
      </c>
      <c r="R38" s="8" t="inlineStr">
        <is>
          <t>Labor</t>
        </is>
      </c>
      <c r="S38" s="8">
        <f>VLOOKUP(B38&amp;D38&amp;R38,[2]Table!$D:$E,2,0)</f>
        <v/>
      </c>
    </row>
    <row r="39" ht="109.35" customFormat="1" customHeight="1" s="12">
      <c r="A39" s="13" t="inlineStr">
        <is>
          <t>DE5) Protection of Identity and Non-Retaliation</t>
        </is>
      </c>
      <c r="B39" s="9" t="inlineStr">
        <is>
          <t>DE501</t>
        </is>
      </c>
      <c r="C39" s="20" t="inlineStr">
        <is>
          <t>O</t>
        </is>
      </c>
      <c r="D39" s="33" t="inlineStr">
        <is>
          <t>Conformance</t>
        </is>
      </c>
      <c r="E39" s="8">
        <f>IF(AND(D39&lt;&gt;"Conformance", D39&lt;&gt;"N/A"),"X","")</f>
        <v/>
      </c>
      <c r="F39" s="19" t="n"/>
      <c r="G39" s="20" t="n"/>
      <c r="H39" s="9">
        <f>IF(AND(F39="X",G39=D39),"X",IF(AND(F39="X",G39="Major", D39="Priority"),"X",""))</f>
        <v/>
      </c>
      <c r="I39" s="9" t="n"/>
      <c r="J39" s="26" t="inlineStr">
        <is>
          <t>Non-Retaliation &amp; Whistleblower protection</t>
        </is>
      </c>
      <c r="K39" s="69" t="inlineStr">
        <is>
          <t xml:space="preserve">No evidence of retaliation or reduced protection of identity </t>
        </is>
      </c>
      <c r="L39" s="75" t="n"/>
      <c r="M39" s="117" t="inlineStr">
        <is>
          <t>ㆍPriority :  ① Confirmed retaliation
               ② Confirmed breach of identity
ㆍMajor   : No detailed and understandable gift or similar policy and procedures implemented
ㆍMinor   : Partial policy or procedures or implementation
※ Required Documents and Records
    - Policy/procedure on “whistle blowing”
    - Clear communications to workers/employees on non- retaliation
    - Procedures to investigate possible retaliation allegations</t>
        </is>
      </c>
      <c r="N39" s="38" t="n"/>
      <c r="O39" s="38" t="inlineStr">
        <is>
          <t>O</t>
        </is>
      </c>
      <c r="P39" s="38" t="inlineStr">
        <is>
          <t>O</t>
        </is>
      </c>
      <c r="Q39" s="38" t="inlineStr">
        <is>
          <t>O</t>
        </is>
      </c>
      <c r="R39" s="8" t="inlineStr">
        <is>
          <t>Labor</t>
        </is>
      </c>
      <c r="S39" s="8">
        <f>VLOOKUP(B39&amp;D39&amp;R39,[2]Table!$D:$E,2,0)</f>
        <v/>
      </c>
    </row>
    <row r="40" ht="109.35" customFormat="1" customHeight="1" s="12">
      <c r="A40" s="13" t="inlineStr">
        <is>
          <t>DE6) Privacy</t>
        </is>
      </c>
      <c r="B40" s="9" t="inlineStr">
        <is>
          <t>DE601</t>
        </is>
      </c>
      <c r="C40" s="20" t="inlineStr">
        <is>
          <t>O</t>
        </is>
      </c>
      <c r="D40" s="33" t="inlineStr">
        <is>
          <t>Conformance</t>
        </is>
      </c>
      <c r="E40" s="8">
        <f>IF(AND(D40&lt;&gt;"Conformance", D40&lt;&gt;"N/A"),"X","")</f>
        <v/>
      </c>
      <c r="F40" s="19" t="n"/>
      <c r="G40" s="20" t="n"/>
      <c r="H40" s="9">
        <f>IF(AND(F40="X",G40=D40),"X",IF(AND(F40="X",G40="Major", D40="Priority"),"X",""))</f>
        <v/>
      </c>
      <c r="I40" s="9" t="n"/>
      <c r="J40" s="26" t="inlineStr">
        <is>
          <t>Protection of personal information</t>
        </is>
      </c>
      <c r="K40" s="69" t="inlineStr">
        <is>
          <t>No evidence of unauthorized disclosure of personal information</t>
        </is>
      </c>
      <c r="L40" s="75" t="n"/>
      <c r="M40" s="117" t="inlineStr">
        <is>
          <t>ㆍPriority : Personal information is collected, stored, processed, transmitted, or shared without the individual’s approval
ㆍMajor   : No detailed and understandable gift or similar policy and procedures implemented
ㆍMinor   : Partial policy or procedures or implementation
※ Required Documents and Records
    - A formal policy and program to protect privacy
    - Training material and training records on privacy protection</t>
        </is>
      </c>
      <c r="N40" s="38" t="inlineStr">
        <is>
          <t>O</t>
        </is>
      </c>
      <c r="O40" s="38" t="inlineStr">
        <is>
          <t>O</t>
        </is>
      </c>
      <c r="P40" s="38" t="inlineStr">
        <is>
          <t>O</t>
        </is>
      </c>
      <c r="Q40" s="38" t="inlineStr">
        <is>
          <t>O</t>
        </is>
      </c>
      <c r="R40" s="8" t="inlineStr">
        <is>
          <t>Labor</t>
        </is>
      </c>
      <c r="S40" s="8">
        <f>VLOOKUP(B40&amp;D40&amp;R40,[2]Table!$D:$E,2,0)</f>
        <v/>
      </c>
    </row>
    <row r="41" ht="109.35" customFormat="1" customHeight="1" s="12">
      <c r="A41" s="13" t="inlineStr">
        <is>
          <t>DM1) Risk Assessment</t>
        </is>
      </c>
      <c r="B41" s="9" t="inlineStr">
        <is>
          <t>DM101</t>
        </is>
      </c>
      <c r="C41" s="20" t="inlineStr">
        <is>
          <t>O</t>
        </is>
      </c>
      <c r="D41" s="33" t="inlineStr">
        <is>
          <t>Conformance</t>
        </is>
      </c>
      <c r="E41" s="8">
        <f>IF(AND(D41&lt;&gt;"Conformance", D41&lt;&gt;"N/A"),"X","")</f>
        <v/>
      </c>
      <c r="F41" s="19" t="n"/>
      <c r="G41" s="20" t="n"/>
      <c r="H41" s="9">
        <f>IF(AND(F41="X",G41=D41),"X",IF(AND(F41="X",G41="Major", D41="Priority"),"X",""))</f>
        <v/>
      </c>
      <c r="I41" s="9" t="n"/>
      <c r="J41" s="26" t="inlineStr">
        <is>
          <t>Compliance process of Legal/Customer Requirements</t>
        </is>
      </c>
      <c r="K41" s="69" t="inlineStr">
        <is>
          <t xml:space="preserve">An adequate and effective ethics compliance process is established to monitor, identify, understand, and ensure compliance with  applicable
     laws, regulations, and customer requirements
</t>
        </is>
      </c>
      <c r="L41" s="75" t="n"/>
      <c r="M41" s="117" t="inlineStr">
        <is>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41" s="38" t="n"/>
      <c r="O41" s="38" t="inlineStr">
        <is>
          <t>O</t>
        </is>
      </c>
      <c r="P41" s="38" t="inlineStr">
        <is>
          <t>O</t>
        </is>
      </c>
      <c r="Q41" s="38" t="inlineStr">
        <is>
          <t>O</t>
        </is>
      </c>
      <c r="R41" s="8" t="inlineStr">
        <is>
          <t>Labor</t>
        </is>
      </c>
      <c r="S41" s="8">
        <f>VLOOKUP(B41&amp;D41&amp;R41,[2]Table!$D:$E,2,0)</f>
        <v/>
      </c>
    </row>
    <row r="42" ht="109.35" customFormat="1" customHeight="1" s="12">
      <c r="A42" s="13" t="inlineStr">
        <is>
          <t>DM1) Risk Assessment</t>
        </is>
      </c>
      <c r="B42" s="9" t="inlineStr">
        <is>
          <t>DM102</t>
        </is>
      </c>
      <c r="C42" s="20" t="inlineStr">
        <is>
          <t>O</t>
        </is>
      </c>
      <c r="D42" s="33" t="inlineStr">
        <is>
          <t>Conformance</t>
        </is>
      </c>
      <c r="E42" s="8">
        <f>IF(AND(D42&lt;&gt;"Conformance", D42&lt;&gt;"N/A"),"X","")</f>
        <v/>
      </c>
      <c r="F42" s="19" t="n"/>
      <c r="G42" s="20" t="n"/>
      <c r="H42" s="9">
        <f>IF(AND(F42="X",G42=D42),"X",IF(AND(F42="X",G42="Major", D42="Priority"),"X",""))</f>
        <v/>
      </c>
      <c r="I42" s="9" t="n"/>
      <c r="J42" s="26" t="inlineStr">
        <is>
          <t>Due diligence Process</t>
        </is>
      </c>
      <c r="K42" s="69" t="inlineStr">
        <is>
          <t xml:space="preserve">An adequate and effective due diligence process is established to identify and assess the most significant actual and potential  ethics risks 
     where the facility caused or contributed to adverse ethics impacts (including applicable requirements).
</t>
        </is>
      </c>
      <c r="L42" s="75" t="n"/>
      <c r="M42" s="117" t="inlineStr">
        <is>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is>
      </c>
      <c r="N42" s="38" t="n"/>
      <c r="O42" s="38" t="inlineStr">
        <is>
          <t>O</t>
        </is>
      </c>
      <c r="P42" s="38" t="inlineStr">
        <is>
          <t>O</t>
        </is>
      </c>
      <c r="Q42" s="38" t="inlineStr">
        <is>
          <t>O</t>
        </is>
      </c>
      <c r="R42" s="8" t="inlineStr">
        <is>
          <t>Labor</t>
        </is>
      </c>
      <c r="S42" s="8">
        <f>VLOOKUP(B42&amp;D42&amp;R42,[2]Table!$D:$E,2,0)</f>
        <v/>
      </c>
    </row>
    <row r="43" ht="109.35" customFormat="1" customHeight="1" s="12">
      <c r="A43" s="13" t="inlineStr">
        <is>
          <t>DM2) Control processes</t>
        </is>
      </c>
      <c r="B43" s="9" t="inlineStr">
        <is>
          <t>DM201</t>
        </is>
      </c>
      <c r="C43" s="20" t="inlineStr">
        <is>
          <t>O</t>
        </is>
      </c>
      <c r="D43" s="33" t="inlineStr">
        <is>
          <t>Conformance</t>
        </is>
      </c>
      <c r="E43" s="8">
        <f>IF(AND(D43&lt;&gt;"Conformance", D43&lt;&gt;"N/A"),"X","")</f>
        <v/>
      </c>
      <c r="F43" s="19" t="n"/>
      <c r="G43" s="20" t="n"/>
      <c r="H43" s="9">
        <f>IF(AND(F43="X",G43=D43),"X",IF(AND(F43="X",G43="Major", D43="Priority"),"X",""))</f>
        <v/>
      </c>
      <c r="I43" s="9" t="n"/>
      <c r="J43" s="26" t="inlineStr">
        <is>
          <t>Assigning responsibilities and authorities for all workers(Senior manager to workers)</t>
        </is>
      </c>
      <c r="K43" s="9" t="inlineStr">
        <is>
          <t xml:space="preserve">Ethics responsibilities and authorities are adequately and effectively defined and assigned for all employee levels (senior  managers to workers) 
     for the implementation of management systems, and for compliance with laws, regulations, and codes.
</t>
        </is>
      </c>
      <c r="L43" s="75" t="n"/>
      <c r="M43" s="117" t="inlineStr">
        <is>
          <t>ㆍPriority : Imminent and significant impact are confirmed on facility, life, limb or community without action
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3" s="38" t="n"/>
      <c r="O43" s="38" t="inlineStr">
        <is>
          <t>O</t>
        </is>
      </c>
      <c r="P43" s="38" t="inlineStr">
        <is>
          <t>O</t>
        </is>
      </c>
      <c r="Q43" s="38" t="inlineStr">
        <is>
          <t>O</t>
        </is>
      </c>
      <c r="R43" s="8" t="inlineStr">
        <is>
          <t>Labor</t>
        </is>
      </c>
      <c r="S43" s="8">
        <f>VLOOKUP(B43&amp;D43&amp;R43,[2]Table!$D:$E,2,0)</f>
        <v/>
      </c>
    </row>
    <row r="44" ht="109.35" customFormat="1" customHeight="1" s="12">
      <c r="A44" s="13" t="inlineStr">
        <is>
          <t>DM2) Control processes</t>
        </is>
      </c>
      <c r="B44" s="9" t="inlineStr">
        <is>
          <t>DM202</t>
        </is>
      </c>
      <c r="C44" s="20" t="inlineStr">
        <is>
          <t>O</t>
        </is>
      </c>
      <c r="D44" s="33" t="inlineStr">
        <is>
          <t>Conformance</t>
        </is>
      </c>
      <c r="E44" s="8">
        <f>IF(AND(D44&lt;&gt;"Conformance", D44&lt;&gt;"N/A"),"X","")</f>
        <v/>
      </c>
      <c r="F44" s="19" t="n"/>
      <c r="G44" s="20" t="n"/>
      <c r="H44" s="9">
        <f>IF(AND(F44="X",G44=D44),"X",IF(AND(F44="X",G44="Major", D44="Priority"),"X",""))</f>
        <v/>
      </c>
      <c r="I44" s="9" t="n"/>
      <c r="J44" s="26" t="inlineStr">
        <is>
          <t>Policies and Control Process</t>
        </is>
      </c>
      <c r="K44" s="69" t="inlineStr">
        <is>
          <t>Adequate and effective ethics policies and control processes are established</t>
        </is>
      </c>
      <c r="L44" s="75" t="n"/>
      <c r="M44" s="117" t="inlineStr">
        <is>
          <t>ㆍPriority : Imminent and significant impact are confirmed on facility, life, limb or community without action
ㆍMajor   : Two or more of minimum requirement elements are missing or ineffective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4" s="38" t="inlineStr">
        <is>
          <t>O</t>
        </is>
      </c>
      <c r="O44" s="38" t="inlineStr">
        <is>
          <t>O</t>
        </is>
      </c>
      <c r="P44" s="38" t="inlineStr">
        <is>
          <t>O</t>
        </is>
      </c>
      <c r="Q44" s="38" t="inlineStr">
        <is>
          <t>O</t>
        </is>
      </c>
      <c r="R44" s="8" t="inlineStr">
        <is>
          <t>Labor</t>
        </is>
      </c>
      <c r="S44" s="8">
        <f>VLOOKUP(B44&amp;D44&amp;R44,[2]Table!$D:$E,2,0)</f>
        <v/>
      </c>
    </row>
    <row r="45" ht="109.35" customFormat="1" customHeight="1" s="12">
      <c r="A45" s="13" t="inlineStr">
        <is>
          <t>DM2) Control processes</t>
        </is>
      </c>
      <c r="B45" s="9" t="inlineStr">
        <is>
          <t>DM203</t>
        </is>
      </c>
      <c r="C45" s="20" t="inlineStr">
        <is>
          <t>O</t>
        </is>
      </c>
      <c r="D45" s="33" t="inlineStr">
        <is>
          <t>Conformance</t>
        </is>
      </c>
      <c r="E45" s="8">
        <f>IF(AND(D45&lt;&gt;"Conformance", D45&lt;&gt;"N/A"),"X","")</f>
        <v/>
      </c>
      <c r="F45" s="19" t="n"/>
      <c r="G45" s="20" t="n"/>
      <c r="H45" s="9">
        <f>IF(AND(F45="X",G45=D45),"X",IF(AND(F45="X",G45="Major", D45="Priority"),"X",""))</f>
        <v/>
      </c>
      <c r="I45" s="9" t="n"/>
      <c r="J45" s="26" t="inlineStr">
        <is>
          <t>Training process</t>
        </is>
      </c>
      <c r="K45" s="69" t="inlineStr">
        <is>
          <t>An adequate and effective ethics training process is established for all managers/workers on all policy/process/job-related  aspects and performance targets</t>
        </is>
      </c>
      <c r="L45" s="75" t="n"/>
      <c r="M45" s="117" t="inlineStr">
        <is>
          <t>ㆍPriority : Workers not trained before starting work
ㆍMajor   : ① Two or more of minimum requirement elements are missing or ineffective
               ② &gt;5% of workers not trained within 30 days of the hire date
ㆍMinor  :  ① One of minimum requirement elements is missing or ineffective, or a system element is not adequately documented or is prohibited 
               ② One focus area is missing in the communications (policy, performance, practice, expectations)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is>
      </c>
      <c r="N45" s="38" t="n"/>
      <c r="O45" s="38" t="inlineStr">
        <is>
          <t>O</t>
        </is>
      </c>
      <c r="P45" s="38" t="inlineStr">
        <is>
          <t>O</t>
        </is>
      </c>
      <c r="Q45" s="38" t="inlineStr">
        <is>
          <t>O</t>
        </is>
      </c>
      <c r="R45" s="8" t="inlineStr">
        <is>
          <t>Labor</t>
        </is>
      </c>
      <c r="S45" s="8">
        <f>VLOOKUP(B45&amp;D45&amp;R45,[2]Table!$D:$E,2,0)</f>
        <v/>
      </c>
    </row>
    <row r="46" ht="109.35" customFormat="1" customHeight="1" s="12">
      <c r="A46" s="13" t="inlineStr">
        <is>
          <t>DM3) Communications</t>
        </is>
      </c>
      <c r="B46" s="9" t="inlineStr">
        <is>
          <t>DM301</t>
        </is>
      </c>
      <c r="C46" s="20" t="inlineStr">
        <is>
          <t>O</t>
        </is>
      </c>
      <c r="D46" s="33" t="inlineStr">
        <is>
          <t>Conformance</t>
        </is>
      </c>
      <c r="E46" s="8">
        <f>IF(AND(D46&lt;&gt;"Conformance", D46&lt;&gt;"N/A"),"X","")</f>
        <v/>
      </c>
      <c r="F46" s="19" t="n"/>
      <c r="G46" s="20" t="n"/>
      <c r="H46" s="9">
        <f>IF(AND(F46="X",G46=D46),"X",IF(AND(F46="X",G46="Major", D46="Priority"),"X",""))</f>
        <v/>
      </c>
      <c r="I46" s="9" t="n"/>
      <c r="J46" s="26" t="inlineStr">
        <is>
          <t>Worker, stakeholder communication</t>
        </is>
      </c>
      <c r="K46" s="69" t="inlineStr">
        <is>
          <t xml:space="preserve">An adequate and effective ongoing two-way communication process with workers, and internal and external stakeholders, where  relevant or
     necessary, is established to obtain feedback on operational ethics practices and conditions and to foster continuous  improvement
</t>
        </is>
      </c>
      <c r="L46" s="75" t="n"/>
      <c r="M46" s="117" t="inlineStr">
        <is>
          <t>ㆍPriority : Imminent and significant impact are confirmed on facility, life, limb or community without action
ㆍMajor   : ① Two or more of minimum requirement elements are missing or ineffective
               ② Two or more focus areas are missing in the communications (policy, performance, practice, expectations)
ㆍMinor  :  ① One of minimum requirement elements is missing or ineffective, or a system element is not adequately documented or is prohibited 
               ② One focus area is missing in the communications (policy, performance, practice, expectations)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46" s="38" t="inlineStr">
        <is>
          <t>O</t>
        </is>
      </c>
      <c r="O46" s="38" t="inlineStr">
        <is>
          <t>O</t>
        </is>
      </c>
      <c r="P46" s="38" t="inlineStr">
        <is>
          <t>O</t>
        </is>
      </c>
      <c r="Q46" s="38" t="inlineStr">
        <is>
          <t>O</t>
        </is>
      </c>
      <c r="R46" s="8" t="inlineStr">
        <is>
          <t>Labor</t>
        </is>
      </c>
      <c r="S46" s="8">
        <f>VLOOKUP(B46&amp;D46&amp;R46,[2]Table!$D:$E,2,0)</f>
        <v/>
      </c>
    </row>
    <row r="47" ht="109.35" customFormat="1" customHeight="1" s="12">
      <c r="A47" s="13" t="inlineStr">
        <is>
          <t>DM3) Communications</t>
        </is>
      </c>
      <c r="B47" s="9" t="inlineStr">
        <is>
          <t>DM302</t>
        </is>
      </c>
      <c r="C47" s="20" t="inlineStr">
        <is>
          <t>O</t>
        </is>
      </c>
      <c r="D47" s="33" t="inlineStr">
        <is>
          <t>Conformance</t>
        </is>
      </c>
      <c r="E47" s="8">
        <f>IF(AND(D47&lt;&gt;"Conformance", D47&lt;&gt;"N/A"),"X","")</f>
        <v/>
      </c>
      <c r="F47" s="19" t="n"/>
      <c r="G47" s="20" t="n"/>
      <c r="H47" s="9">
        <f>IF(AND(F47="X",G47=D47),"X",IF(AND(F47="X",G47="Major", D47="Priority"),"X",""))</f>
        <v/>
      </c>
      <c r="I47" s="9" t="n"/>
      <c r="J47" s="26" t="inlineStr">
        <is>
          <t>Worker grievance/complaint process</t>
        </is>
      </c>
      <c r="K47" s="70" t="inlineStr">
        <is>
          <t>An adequate and effective process is established to anonymously report ethics grievances confidentially without fear of reprisal or  intimidation</t>
        </is>
      </c>
      <c r="L47" s="75" t="n"/>
      <c r="M47" s="117" t="inlineStr">
        <is>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A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is>
      </c>
      <c r="N47" s="38" t="inlineStr">
        <is>
          <t>O</t>
        </is>
      </c>
      <c r="O47" s="38" t="inlineStr">
        <is>
          <t>O</t>
        </is>
      </c>
      <c r="P47" s="38" t="inlineStr">
        <is>
          <t>O</t>
        </is>
      </c>
      <c r="Q47" s="38" t="inlineStr">
        <is>
          <t>O</t>
        </is>
      </c>
      <c r="R47" s="8" t="inlineStr">
        <is>
          <t>Labor</t>
        </is>
      </c>
      <c r="S47" s="8">
        <f>VLOOKUP(B47&amp;D47&amp;R47,[2]Table!$D:$E,2,0)</f>
        <v/>
      </c>
    </row>
    <row r="48" ht="109.35" customFormat="1" customHeight="1" s="11">
      <c r="A48" s="13" t="inlineStr">
        <is>
          <t>DM4) Performance Review and Continuous Improvement</t>
        </is>
      </c>
      <c r="B48" s="9" t="inlineStr">
        <is>
          <t>DM401</t>
        </is>
      </c>
      <c r="C48" s="20" t="inlineStr">
        <is>
          <t>O</t>
        </is>
      </c>
      <c r="D48" s="33" t="inlineStr">
        <is>
          <t>Conformance</t>
        </is>
      </c>
      <c r="E48" s="8">
        <f>IF(AND(D48&lt;&gt;"Conformance", D48&lt;&gt;"N/A"),"X","")</f>
        <v/>
      </c>
      <c r="F48" s="8" t="n"/>
      <c r="G48" s="20" t="n"/>
      <c r="H48" s="9">
        <f>IF(AND(F48="X",G48=D48),"X",IF(AND(F48="X",G48="Major", D48="Priority"),"X",""))</f>
        <v/>
      </c>
      <c r="I48" s="9" t="n"/>
      <c r="J48" s="26" t="inlineStr">
        <is>
          <t>Performance Review and Continuous Improvement</t>
        </is>
      </c>
      <c r="K48" s="70" t="inlineStr">
        <is>
          <t>An adequate and effective ethics management performance review and continuous improvement process is established</t>
        </is>
      </c>
      <c r="L48" s="75" t="n"/>
      <c r="M48" s="117" t="inlineStr">
        <is>
          <t>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48" s="74" t="n"/>
      <c r="O48" s="74" t="inlineStr">
        <is>
          <t>O</t>
        </is>
      </c>
      <c r="P48" s="74" t="inlineStr">
        <is>
          <t>O</t>
        </is>
      </c>
      <c r="Q48" s="74" t="inlineStr">
        <is>
          <t>O</t>
        </is>
      </c>
      <c r="R48" s="73" t="inlineStr">
        <is>
          <t>Labor</t>
        </is>
      </c>
      <c r="S48" s="73">
        <f>VLOOKUP(B48&amp;D48&amp;R48,[2]Table!$D:$E,2,0)</f>
        <v/>
      </c>
    </row>
    <row r="49" ht="109.35" customFormat="1" customHeight="1" s="11">
      <c r="A49" s="13" t="inlineStr">
        <is>
          <t>DM4) Performance Review and Continuous Improvement</t>
        </is>
      </c>
      <c r="B49" s="9" t="inlineStr">
        <is>
          <t>DM402</t>
        </is>
      </c>
      <c r="C49" s="20" t="inlineStr">
        <is>
          <t>O</t>
        </is>
      </c>
      <c r="D49" s="33" t="inlineStr">
        <is>
          <t>Conformance</t>
        </is>
      </c>
      <c r="E49" s="8">
        <f>IF(AND(D49&lt;&gt;"Conformance", D49&lt;&gt;"N/A"),"X","")</f>
        <v/>
      </c>
      <c r="F49" s="8" t="n"/>
      <c r="G49" s="20" t="n"/>
      <c r="H49" s="9">
        <f>IF(AND(F49="X",G49=D49),"X",IF(AND(F49="X",G49="Major", D49="Priority"),"X",""))</f>
        <v/>
      </c>
      <c r="I49" s="9" t="n"/>
      <c r="J49" s="26" t="inlineStr">
        <is>
          <t>Self-audit process</t>
        </is>
      </c>
      <c r="K49" s="70" t="inlineStr">
        <is>
          <t>An adequate and effective ethics self-audit process is established to assess conformance with the RBA Code and customer  requirements periodically</t>
        </is>
      </c>
      <c r="L49" s="75" t="n"/>
      <c r="M49" s="117" t="inlineStr">
        <is>
          <t>ㆍMajor   : ① No Audits carried out
               ② Two or more of minimum requirement elements are missing or ineffective
               ③ Scope does not include regulatory compliance
ㆍMinor  :  ① One of minimum requirement elements is missing or ineffective
               ② A system element is not adequately documented or is prohibited
               ③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49" s="76" t="n"/>
      <c r="O49" s="76" t="inlineStr">
        <is>
          <t>O</t>
        </is>
      </c>
      <c r="P49" s="76" t="inlineStr">
        <is>
          <t>O</t>
        </is>
      </c>
      <c r="Q49" s="76" t="n"/>
      <c r="R49" s="8" t="inlineStr">
        <is>
          <t>Labor</t>
        </is>
      </c>
      <c r="S49" s="8">
        <f>VLOOKUP(B49&amp;D49&amp;R49,[2]Table!$D:$E,2,0)</f>
        <v/>
      </c>
    </row>
    <row r="50" ht="109.35" customFormat="1" customHeight="1" s="10">
      <c r="A50" s="13" t="inlineStr">
        <is>
          <t>DM4) Performance Review and Continuous Improvement</t>
        </is>
      </c>
      <c r="B50" s="8" t="inlineStr">
        <is>
          <t>DM403</t>
        </is>
      </c>
      <c r="C50" s="20" t="inlineStr">
        <is>
          <t>O</t>
        </is>
      </c>
      <c r="D50" s="33" t="inlineStr">
        <is>
          <t>Conformance</t>
        </is>
      </c>
      <c r="E50" s="8">
        <f>IF(AND(D50&lt;&gt;"Conformance", D50&lt;&gt;"N/A"),"X","")</f>
        <v/>
      </c>
      <c r="F50" s="8" t="n"/>
      <c r="G50" s="8" t="n"/>
      <c r="H50" s="9">
        <f>IF(AND(F50="X",G50=D50),"X",IF(AND(F50="X",G50="Major", D50="Priority"),"X",""))</f>
        <v/>
      </c>
      <c r="I50" s="8" t="n"/>
      <c r="J50" s="26" t="inlineStr">
        <is>
          <t>Corrective action process</t>
        </is>
      </c>
      <c r="K50" s="71" t="inlineStr">
        <is>
          <t xml:space="preserve">An adequate and effective ethics corrective action process is established to rectify and close non-conformances
</t>
        </is>
      </c>
      <c r="L50" s="75" t="n"/>
      <c r="M50" s="117" t="inlineStr">
        <is>
          <t>ㆍMajor   : ①. Two or more of minimum requirement elements are missing or ineffective
               ② One or more unaddressed regulatory actions or penalties
ㆍMinor  :  ① One of minimum requirement elements is missing or ineffective
               ② A system element is not adequately  documented or is prohibited
               ③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is>
      </c>
      <c r="N50" s="76" t="n"/>
      <c r="O50" s="76" t="inlineStr">
        <is>
          <t>O</t>
        </is>
      </c>
      <c r="P50" s="76" t="inlineStr">
        <is>
          <t>O</t>
        </is>
      </c>
      <c r="Q50" s="76" t="inlineStr">
        <is>
          <t>O</t>
        </is>
      </c>
      <c r="R50" s="8" t="inlineStr">
        <is>
          <t>Labor</t>
        </is>
      </c>
      <c r="S50" s="8">
        <f>VLOOKUP(B50&amp;D50&amp;R50,[2]Table!$D:$E,2,0)</f>
        <v/>
      </c>
    </row>
    <row r="51" ht="109.35" customHeight="1" s="191">
      <c r="A51" s="24" t="inlineStr">
        <is>
          <t>ES1) Company Commitment</t>
        </is>
      </c>
      <c r="B51" s="68" t="inlineStr">
        <is>
          <t>ES101</t>
        </is>
      </c>
      <c r="C51" s="20" t="inlineStr">
        <is>
          <t>O</t>
        </is>
      </c>
      <c r="D51" s="33" t="inlineStr">
        <is>
          <t>Conformance</t>
        </is>
      </c>
      <c r="E51" s="8">
        <f>IF(AND(D51&lt;&gt;"Conformance", D51&lt;&gt;"N/A"),"X","")</f>
        <v/>
      </c>
      <c r="F51" s="68" t="n"/>
      <c r="G51" s="68" t="n"/>
      <c r="H51" s="9">
        <f>IF(AND(F51="X",G51=D51),"X",IF(AND(F51="X",G51="Major", D51="Priority"),"X",""))</f>
        <v/>
      </c>
      <c r="I51" s="68" t="n"/>
      <c r="J51" s="25" t="inlineStr">
        <is>
          <t>Policies/codes endorsed by executive management</t>
        </is>
      </c>
      <c r="K51" s="72" t="inlineStr">
        <is>
          <t>An adequate and effective Code of Conduct is established and endorsed by executive management covering all elements of the RBA code</t>
        </is>
      </c>
      <c r="L51" s="75" t="n"/>
      <c r="M51" s="117" t="inlineStr">
        <is>
          <t>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 Required Documents and Records
    - Labor, Employment, Ethics, Health &amp; Safety and Environment Policy
    - Corporate Responsibility Policy - Company/facility’s Business Ethics or Code of Business Conduct policy or manual</t>
        </is>
      </c>
      <c r="N51" s="76" t="inlineStr">
        <is>
          <t>O</t>
        </is>
      </c>
      <c r="O51" s="76" t="inlineStr">
        <is>
          <t>O</t>
        </is>
      </c>
      <c r="P51" s="76" t="inlineStr">
        <is>
          <t>O</t>
        </is>
      </c>
      <c r="Q51" s="76" t="inlineStr">
        <is>
          <t>O</t>
        </is>
      </c>
      <c r="R51" s="8" t="inlineStr">
        <is>
          <t>Labor</t>
        </is>
      </c>
      <c r="S51" s="8">
        <f>VLOOKUP(B51&amp;D51&amp;R51,[2]Table!$D:$E,2,0)</f>
        <v/>
      </c>
    </row>
    <row r="52" ht="109.35" customHeight="1" s="191">
      <c r="A52" s="24" t="inlineStr">
        <is>
          <t>ES2) Materials Restrictions</t>
        </is>
      </c>
      <c r="B52" s="68" t="inlineStr">
        <is>
          <t>ES201</t>
        </is>
      </c>
      <c r="C52" s="20" t="inlineStr">
        <is>
          <t>O</t>
        </is>
      </c>
      <c r="D52" s="33" t="inlineStr">
        <is>
          <t>Conformance</t>
        </is>
      </c>
      <c r="E52" s="8">
        <f>IF(AND(D52&lt;&gt;"Conformance", D52&lt;&gt;"N/A"),"X","")</f>
        <v/>
      </c>
      <c r="F52" s="68" t="n"/>
      <c r="G52" s="68" t="n"/>
      <c r="H52" s="9">
        <f>IF(AND(F52="X",G52=D52),"X",IF(AND(F52="X",G52="Major", D52="Priority"),"X",""))</f>
        <v/>
      </c>
      <c r="I52" s="68" t="n"/>
      <c r="J52" s="25" t="inlineStr">
        <is>
          <t>Materials Restriction Program</t>
        </is>
      </c>
      <c r="K52" s="72" t="inlineStr">
        <is>
          <t>An adequate and effective program is in place for Materials Restrictions as a formal part of the procurement and manufacturing  processes</t>
        </is>
      </c>
      <c r="L52" s="75" t="n"/>
      <c r="M52" s="117" t="inlineStr">
        <is>
          <t>ㆍPriority : No program is in place AND a product has been subject to regulatory action
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One of minimum requirement elements is missing or ineffective, or a system element is not adequately documented or is prohibited
※ Required Documents and Records
    - Procurement and manufacturing specifications describing how the facility meets legal and customer product content restrictions
    - Records of communication of RoHS, REACH, WEEE and other customer product content restrictions to suppliers
    - Analytical test results</t>
        </is>
      </c>
      <c r="N52" s="77" t="n"/>
      <c r="O52" s="76" t="inlineStr">
        <is>
          <t>O</t>
        </is>
      </c>
      <c r="P52" s="76" t="inlineStr">
        <is>
          <t>O</t>
        </is>
      </c>
      <c r="Q52" s="77" t="n"/>
      <c r="R52" s="8" t="inlineStr">
        <is>
          <t>Labor</t>
        </is>
      </c>
      <c r="S52" s="8">
        <f>VLOOKUP(B52&amp;D52&amp;R52,[2]Table!$D:$E,2,0)</f>
        <v/>
      </c>
    </row>
    <row r="53" ht="109.35" customHeight="1" s="191">
      <c r="A53" s="24" t="inlineStr">
        <is>
          <t>ES3) Responsible Sourcing of Minerals</t>
        </is>
      </c>
      <c r="B53" s="68" t="inlineStr">
        <is>
          <t>ES301</t>
        </is>
      </c>
      <c r="C53" s="20" t="inlineStr">
        <is>
          <t>O</t>
        </is>
      </c>
      <c r="D53" s="33" t="inlineStr">
        <is>
          <t>Conformance</t>
        </is>
      </c>
      <c r="E53" s="8">
        <f>IF(AND(D53&lt;&gt;"Conformance", D53&lt;&gt;"N/A"),"X","")</f>
        <v/>
      </c>
      <c r="F53" s="68" t="n"/>
      <c r="G53" s="68" t="n"/>
      <c r="H53" s="9">
        <f>IF(AND(F53="X",G53=D53),"X",IF(AND(F53="X",G53="Major", D53="Priority"),"X",""))</f>
        <v/>
      </c>
      <c r="I53" s="68" t="n"/>
      <c r="J53" s="25" t="inlineStr">
        <is>
          <t>Prohibition of using sourcing minerals</t>
        </is>
      </c>
      <c r="K53" s="72" t="inlineStr">
        <is>
          <t xml:space="preserve">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
</t>
        </is>
      </c>
      <c r="L53" s="75" t="n"/>
      <c r="M53" s="117" t="inlineStr">
        <is>
          <r>
            <t>ㆍPriority : Confirmed purchasing of minerals from conflict sources and no action plan is in place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More than 20% of 3TG+C sources do not  have a documented due diligence in place
ㆍMinor   : Less than or equal to 20% of 3TG+C sources do not have a documented due diligence in place
ㆍN/A      : No 3TG+C mineral material or containing components
※ Required Documents and Records
    - Responsible sourcing of minerals policy/procedures
    - Risk assessment of sources of materials are either 3TG + Cobalt free or (if procured by the smelter/refinery site) are conflict</t>
          </r>
          <r>
            <rPr>
              <rFont val="Calibri"/>
              <charset val="128"/>
              <family val="3"/>
              <sz val="10"/>
              <scheme val="minor"/>
            </rPr>
            <t>‐</t>
          </r>
          <r>
            <rPr>
              <rFont val="Calibri"/>
              <charset val="129"/>
              <family val="3"/>
              <sz val="10"/>
              <scheme val="minor"/>
            </rPr>
            <t>free
    - Action plans on information gathering/actions to ensure responsible sourcing of minerals
    - Due Diligence records related to 3TG + C for the last 2 years</t>
          </r>
        </is>
      </c>
      <c r="N53" s="77" t="n"/>
      <c r="O53" s="76" t="inlineStr">
        <is>
          <t>O</t>
        </is>
      </c>
      <c r="P53" s="76" t="inlineStr">
        <is>
          <t>O</t>
        </is>
      </c>
      <c r="Q53" s="76" t="inlineStr">
        <is>
          <t>O</t>
        </is>
      </c>
      <c r="R53" s="8" t="inlineStr">
        <is>
          <t>Labor</t>
        </is>
      </c>
      <c r="S53" s="8">
        <f>VLOOKUP(B53&amp;D53&amp;R53,[2]Table!$D:$E,2,0)</f>
        <v/>
      </c>
    </row>
    <row r="54" ht="109.35" customHeight="1" s="191">
      <c r="A54" s="24" t="inlineStr">
        <is>
          <t>ES4) Supplier Responsibility</t>
        </is>
      </c>
      <c r="B54" s="68" t="inlineStr">
        <is>
          <t>ES401</t>
        </is>
      </c>
      <c r="C54" s="20" t="inlineStr">
        <is>
          <t>O</t>
        </is>
      </c>
      <c r="D54" s="33" t="inlineStr">
        <is>
          <t>Conformance</t>
        </is>
      </c>
      <c r="E54" s="8">
        <f>IF(AND(D54&lt;&gt;"Conformance", D54&lt;&gt;"N/A"),"X","")</f>
        <v/>
      </c>
      <c r="F54" s="68" t="n"/>
      <c r="G54" s="68" t="n"/>
      <c r="H54" s="9">
        <f>IF(AND(F54="X",G54=D54),"X",IF(AND(F54="X",G54="Major", D54="Priority"),"X",""))</f>
        <v/>
      </c>
      <c r="I54" s="68" t="n"/>
      <c r="J54" s="25" t="inlineStr">
        <is>
          <t>The CoC requirement communication to next-tier major suppliers</t>
        </is>
      </c>
      <c r="K54" s="72" t="inlineStr">
        <is>
          <t>The RBA Code requirements have been communicated to the next-tier suppliers</t>
        </is>
      </c>
      <c r="L54" s="75" t="n"/>
      <c r="M54" s="117" t="inlineStr">
        <is>
          <t>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Percentage of workers working through Labor Agents and Contractors that cannot state how their employment terms 
                  and conditions meet the relevant labor requirements of the RBA code is &gt;20%
ㆍMinor   : Percentage of workers working through Labor Agents and Contractors that cannot state how their employment terms 
               and conditions meet the relevant labor requirements of the RBA  code is &gt;5% and ≤20%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4" s="77" t="n"/>
      <c r="O54" s="76" t="inlineStr">
        <is>
          <t>O</t>
        </is>
      </c>
      <c r="P54" s="76" t="inlineStr">
        <is>
          <t>O</t>
        </is>
      </c>
      <c r="Q54" s="76" t="inlineStr">
        <is>
          <t>O</t>
        </is>
      </c>
      <c r="R54" s="8" t="inlineStr">
        <is>
          <t>Labor</t>
        </is>
      </c>
      <c r="S54" s="8">
        <f>VLOOKUP(B54&amp;D54&amp;R54,[2]Table!$D:$E,2,0)</f>
        <v/>
      </c>
    </row>
    <row r="55" ht="109.35" customHeight="1" s="191">
      <c r="A55" s="24" t="inlineStr">
        <is>
          <t>ES4) Supplier Responsibility</t>
        </is>
      </c>
      <c r="B55" s="68" t="inlineStr">
        <is>
          <t>ES402</t>
        </is>
      </c>
      <c r="C55" s="20" t="inlineStr">
        <is>
          <t>O</t>
        </is>
      </c>
      <c r="D55" s="33" t="inlineStr">
        <is>
          <t>Conformance</t>
        </is>
      </c>
      <c r="E55" s="8">
        <f>IF(AND(D55&lt;&gt;"Conformance", D55&lt;&gt;"N/A"),"X","")</f>
        <v/>
      </c>
      <c r="F55" s="68" t="n"/>
      <c r="G55" s="68" t="n"/>
      <c r="H55" s="9">
        <f>IF(AND(F55="X",G55=D55),"X",IF(AND(F55="X",G55="Major", D55="Priority"),"X",""))</f>
        <v/>
      </c>
      <c r="I55" s="68" t="n"/>
      <c r="J55" s="25" t="inlineStr">
        <is>
          <t>The identification for next-tier major suppliers</t>
        </is>
      </c>
      <c r="K55" s="72" t="inlineStr">
        <is>
          <t>Next-tier major suppliers have been identified</t>
        </is>
      </c>
      <c r="L55" s="75" t="n"/>
      <c r="M55" s="117" t="inlineStr">
        <is>
          <t>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Communication process with the next-tier major suppliers is in place, but no communication record to them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5" s="77" t="n"/>
      <c r="O55" s="76" t="inlineStr">
        <is>
          <t>O</t>
        </is>
      </c>
      <c r="P55" s="76" t="inlineStr">
        <is>
          <t>O</t>
        </is>
      </c>
      <c r="Q55" s="76" t="inlineStr">
        <is>
          <t>O</t>
        </is>
      </c>
      <c r="R55" s="8" t="inlineStr">
        <is>
          <t>Labor</t>
        </is>
      </c>
      <c r="S55" s="8">
        <f>VLOOKUP(B55&amp;D55&amp;R55,[2]Table!$D:$E,2,0)</f>
        <v/>
      </c>
    </row>
    <row r="56" ht="115.8" customHeight="1" s="191">
      <c r="A56" s="24" t="inlineStr">
        <is>
          <t>ES4) Supplier Responsibility</t>
        </is>
      </c>
      <c r="B56" s="68" t="inlineStr">
        <is>
          <t>ES403</t>
        </is>
      </c>
      <c r="C56" s="20" t="inlineStr">
        <is>
          <t>O</t>
        </is>
      </c>
      <c r="D56" s="33" t="inlineStr">
        <is>
          <t>Conformance</t>
        </is>
      </c>
      <c r="E56" s="8">
        <f>IF(AND(D56&lt;&gt;"Conformance", D56&lt;&gt;"N/A"),"X","")</f>
        <v/>
      </c>
      <c r="F56" s="68" t="n"/>
      <c r="G56" s="68" t="n"/>
      <c r="H56" s="9">
        <f>IF(AND(F56="X",G56=D56),"X",IF(AND(F56="X",G56="Major", D56="Priority"),"X",""))</f>
        <v/>
      </c>
      <c r="I56" s="68" t="n"/>
      <c r="J56" s="25" t="inlineStr">
        <is>
          <t>The RBA Code implementation process</t>
        </is>
      </c>
      <c r="K56" s="72" t="inlineStr">
        <is>
          <t>An adequate and effective process is established to ensure that the next-tier major suppliers implement the RBA Code</t>
        </is>
      </c>
      <c r="L56" s="75" t="n"/>
      <c r="M56" s="117" t="inlineStr">
        <is>
          <t>ㆍPriority :  ① Confirmed Priority finding during the audit, which was not identified before the audit
               ② For indirect full-time assigned workers of on-site service providers, a priority non-conformance is confirmed on provision AL3  or AL4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For indirect full time assigned workers of on-site service providers a major non-conformance is confirmed on provision AL3 or AL4
ㆍMinor   : For indirect full time assigned workers of on-site service providers a minor non-conformance is confirmed on provision AL3  or AL4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6" s="77" t="n"/>
      <c r="O56" s="76" t="inlineStr">
        <is>
          <t>O</t>
        </is>
      </c>
      <c r="P56" s="76" t="inlineStr">
        <is>
          <t>O</t>
        </is>
      </c>
      <c r="Q56" s="76" t="inlineStr">
        <is>
          <t>O</t>
        </is>
      </c>
      <c r="R56" s="8" t="inlineStr">
        <is>
          <t>Labor</t>
        </is>
      </c>
      <c r="S56" s="8">
        <f>VLOOKUP(B56&amp;D56&amp;R56,[2]Table!$D:$E,2,0)</f>
        <v/>
      </c>
    </row>
    <row r="57" ht="171" customHeight="1" s="191">
      <c r="A57" s="24" t="inlineStr">
        <is>
          <t>ES4) Supplier Responsibility</t>
        </is>
      </c>
      <c r="B57" s="68" t="inlineStr">
        <is>
          <t>ES404</t>
        </is>
      </c>
      <c r="C57" s="20" t="inlineStr">
        <is>
          <t>O</t>
        </is>
      </c>
      <c r="D57" s="33" t="inlineStr">
        <is>
          <t>Conformance</t>
        </is>
      </c>
      <c r="E57" s="8">
        <f>IF(AND(D57&lt;&gt;"Conformance", D57&lt;&gt;"N/A"),"X","")</f>
        <v/>
      </c>
      <c r="F57" s="68" t="n"/>
      <c r="G57" s="68" t="n"/>
      <c r="H57" s="9">
        <f>IF(AND(F57="X",G57=D57),"X",IF(AND(F57="X",G57="Major", D57="Priority"),"X",""))</f>
        <v/>
      </c>
      <c r="I57" s="68" t="n"/>
      <c r="J57" s="25" t="inlineStr">
        <is>
          <t>The RBA Code improvement process</t>
        </is>
      </c>
      <c r="K57" s="72" t="inlineStr">
        <is>
          <t>An adequate and effective process is established to ensure suppliers' RBA Code implementation performance and continuous  improvement</t>
        </is>
      </c>
      <c r="L57" s="75" t="n"/>
      <c r="M57" s="117" t="inlineStr">
        <is>
          <t>ㆍPriority :  ① No closure audits for Priority findings after CAP closure
               ② No CAPs for Priority findings
               ③ A Priority finding after CAP closure and closure audit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No CAP for Major findings
ㆍMinor   : Verification on corrective action is in place, but most of corrective actions are not implemented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is>
      </c>
      <c r="N57" s="77" t="n"/>
      <c r="O57" s="76" t="inlineStr">
        <is>
          <t>O</t>
        </is>
      </c>
      <c r="P57" s="76" t="inlineStr">
        <is>
          <t>O</t>
        </is>
      </c>
      <c r="Q57" s="76" t="inlineStr">
        <is>
          <t>O</t>
        </is>
      </c>
      <c r="R57" s="8" t="inlineStr">
        <is>
          <t>Labor</t>
        </is>
      </c>
      <c r="S57" s="8">
        <f>VLOOKUP(B57&amp;D57&amp;R57,[2]Table!$D:$E,2,0)</f>
        <v/>
      </c>
    </row>
  </sheetData>
  <autoFilter ref="A5:S57"/>
  <conditionalFormatting sqref="D6:D57">
    <cfRule type="cellIs" priority="1" operator="equal" dxfId="6">
      <formula>"conformance"</formula>
    </cfRule>
    <cfRule type="cellIs" priority="2" operator="equal" dxfId="5">
      <formula>"minor"</formula>
    </cfRule>
    <cfRule type="cellIs" priority="3" operator="equal" dxfId="4">
      <formula>"Risk of nonconformance"</formula>
    </cfRule>
    <cfRule type="cellIs" priority="4" operator="equal" dxfId="3">
      <formula>"Major"</formula>
    </cfRule>
    <cfRule type="cellIs" priority="5" operator="equal" dxfId="2">
      <formula>"Priority"</formula>
    </cfRule>
    <cfRule type="containsText" priority="6" operator="containsText" dxfId="1" text="Not Reviewed">
      <formula>NOT(ISERROR(SEARCH("Not Reviewed",D6)))</formula>
    </cfRule>
    <cfRule type="cellIs" priority="7" operator="equal" dxfId="0">
      <formula>"Out of Scope"</formula>
    </cfRule>
  </conditionalFormatting>
  <dataValidations count="2">
    <dataValidation sqref="L6:L57" showDropDown="0" showInputMessage="1" showErrorMessage="1" allowBlank="1" type="textLength" operator="lessThan">
      <formula1>2500</formula1>
    </dataValidation>
    <dataValidation sqref="D6:D57" showDropDown="0" showInputMessage="1" showErrorMessage="1" allowBlank="1" type="list">
      <formula1>"Conformance,Priority, Major, Minor"</formula1>
    </dataValidation>
  </dataValidations>
  <printOptions horizontalCentered="1"/>
  <pageMargins left="0.5" right="0.5" top="0.5" bottom="0.5" header="0" footer="0"/>
  <pageSetup orientation="landscape" paperSize="9" scale="7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I22"/>
  <sheetViews>
    <sheetView showGridLines="0" workbookViewId="0">
      <selection activeCell="C18" sqref="C18:F18"/>
    </sheetView>
  </sheetViews>
  <sheetFormatPr baseColWidth="8" defaultColWidth="9" defaultRowHeight="14.4"/>
  <cols>
    <col width="1.109375" customWidth="1" style="191" min="1" max="1"/>
    <col width="13.33203125" customWidth="1" style="191" min="2" max="2"/>
    <col width="56.6640625" customWidth="1" style="191" min="3" max="3"/>
    <col width="22.44140625" customWidth="1" style="191" min="4" max="4"/>
    <col width="23.6640625" customWidth="1" style="191" min="5" max="5"/>
    <col width="26.33203125" customWidth="1" style="191" min="6" max="6"/>
    <col width="24.88671875" customWidth="1" style="191" min="7" max="7"/>
    <col width="18" customWidth="1" style="191" min="8" max="8"/>
    <col width="15.6640625" customWidth="1" style="191" min="9" max="9"/>
  </cols>
  <sheetData>
    <row r="1" ht="15" customHeight="1" s="191" thickTop="1">
      <c r="B1" s="30" t="inlineStr">
        <is>
          <t>Audit ID</t>
        </is>
      </c>
      <c r="C1" s="210" t="inlineStr">
        <is>
          <t>Reference Table</t>
        </is>
      </c>
      <c r="D1" s="211" t="n"/>
      <c r="E1" s="211" t="n"/>
      <c r="F1" s="211" t="n"/>
      <c r="G1" s="211" t="n"/>
      <c r="H1" s="211" t="n"/>
      <c r="I1" s="212" t="n"/>
    </row>
    <row r="2" ht="24.75" customHeight="1" s="191">
      <c r="B2" s="182" t="inlineStr">
        <is>
          <t>AL101</t>
        </is>
      </c>
      <c r="C2" s="183" t="inlineStr">
        <is>
          <r>
            <rPr>
              <rFont val="돋움"/>
              <charset val="129"/>
              <family val="3"/>
              <b val="1"/>
              <color theme="1"/>
              <sz val="10"/>
            </rPr>
            <t>■</t>
          </r>
          <r>
            <rPr>
              <rFont val="Arial"/>
              <family val="2"/>
              <b val="1"/>
              <color theme="1"/>
              <sz val="10"/>
            </rPr>
            <t xml:space="preserve"> Prohibited recruitment and hiring fees that were paid and not reimbursed within 90 days, or as soon as practicable upon discovery.</t>
          </r>
        </is>
      </c>
      <c r="D2" s="201" t="n"/>
      <c r="E2" s="201" t="n"/>
      <c r="F2" s="201" t="n"/>
      <c r="G2" s="79" t="n"/>
      <c r="H2" s="80" t="n"/>
      <c r="I2" s="81" t="n"/>
    </row>
    <row r="3" ht="39.6" customHeight="1" s="191">
      <c r="B3" s="213" t="n"/>
      <c r="C3" s="35" t="inlineStr">
        <is>
          <t>Frequency/Severity in monthly gross base wages</t>
        </is>
      </c>
      <c r="D3" s="82" t="inlineStr">
        <is>
          <t>0-5%
(&lt;1 month gross base salary)</t>
        </is>
      </c>
      <c r="E3" s="82" t="inlineStr">
        <is>
          <t>5% - 100%
(&lt;1 month gross base salary)</t>
        </is>
      </c>
      <c r="F3" s="82" t="inlineStr">
        <is>
          <t>100% - 150%
(&gt;1 month - 1.5 month gross base salary)</t>
        </is>
      </c>
      <c r="G3" s="82" t="inlineStr">
        <is>
          <t>&gt;150%
(&gt; 1.5 month gross base salary)</t>
        </is>
      </c>
      <c r="H3" s="83" t="n"/>
      <c r="I3" s="84" t="n"/>
    </row>
    <row r="4">
      <c r="B4" s="213" t="n"/>
      <c r="C4" s="85" t="inlineStr">
        <is>
          <t>&lt;1% or 3 workers or fewer (whichever is greater)</t>
        </is>
      </c>
      <c r="D4" s="86" t="inlineStr">
        <is>
          <t>Minor</t>
        </is>
      </c>
      <c r="E4" s="86" t="inlineStr">
        <is>
          <t>Minor</t>
        </is>
      </c>
      <c r="F4" s="87" t="inlineStr">
        <is>
          <t>Major</t>
        </is>
      </c>
      <c r="G4" s="88" t="inlineStr">
        <is>
          <t>Priority</t>
        </is>
      </c>
      <c r="H4" s="89" t="n"/>
      <c r="I4" s="90" t="n"/>
    </row>
    <row r="5">
      <c r="B5" s="213" t="n"/>
      <c r="C5" s="85" t="inlineStr">
        <is>
          <t>&gt;1%-5% or more than 3 workers but less than 7 workers</t>
        </is>
      </c>
      <c r="D5" s="87" t="inlineStr">
        <is>
          <t>Major</t>
        </is>
      </c>
      <c r="E5" s="87" t="inlineStr">
        <is>
          <t>Major</t>
        </is>
      </c>
      <c r="F5" s="87" t="inlineStr">
        <is>
          <t>Major</t>
        </is>
      </c>
      <c r="G5" s="88" t="inlineStr">
        <is>
          <t>Priority</t>
        </is>
      </c>
      <c r="H5" s="89" t="n"/>
      <c r="I5" s="90" t="n"/>
    </row>
    <row r="6">
      <c r="B6" s="213" t="n"/>
      <c r="C6" s="85" t="inlineStr">
        <is>
          <t>&gt;5%-40% or more than 7 workers</t>
        </is>
      </c>
      <c r="D6" s="87" t="inlineStr">
        <is>
          <t>Major</t>
        </is>
      </c>
      <c r="E6" s="87" t="inlineStr">
        <is>
          <t>Major</t>
        </is>
      </c>
      <c r="F6" s="88" t="inlineStr">
        <is>
          <t>Priority</t>
        </is>
      </c>
      <c r="G6" s="88" t="inlineStr">
        <is>
          <t>Priority</t>
        </is>
      </c>
      <c r="H6" s="89" t="n"/>
      <c r="I6" s="90" t="n"/>
    </row>
    <row r="7">
      <c r="B7" s="214" t="n"/>
      <c r="C7" s="85" t="inlineStr">
        <is>
          <t>&gt;40%</t>
        </is>
      </c>
      <c r="D7" s="87" t="inlineStr">
        <is>
          <t>Major</t>
        </is>
      </c>
      <c r="E7" s="88" t="inlineStr">
        <is>
          <t>Priority</t>
        </is>
      </c>
      <c r="F7" s="88" t="inlineStr">
        <is>
          <t>Priority</t>
        </is>
      </c>
      <c r="G7" s="88" t="inlineStr">
        <is>
          <t>Priority</t>
        </is>
      </c>
      <c r="H7" s="89" t="n"/>
      <c r="I7" s="90" t="n"/>
    </row>
    <row r="8">
      <c r="B8" s="31" t="n"/>
      <c r="C8" s="28" t="n"/>
      <c r="D8" s="29" t="n"/>
      <c r="E8" s="29" t="n"/>
      <c r="F8" s="29" t="n"/>
      <c r="G8" s="34" t="n"/>
      <c r="H8" s="34" t="n"/>
      <c r="I8" s="91" t="n"/>
    </row>
    <row r="9" ht="15.6" customHeight="1" s="191">
      <c r="B9" s="185" t="inlineStr">
        <is>
          <t>AL301</t>
        </is>
      </c>
      <c r="C9" s="92" t="inlineStr">
        <is>
          <t>Weekly working hours</t>
        </is>
      </c>
      <c r="D9" s="93" t="inlineStr">
        <is>
          <t>Ratio ≤1%**</t>
        </is>
      </c>
      <c r="E9" s="93" t="inlineStr">
        <is>
          <t>1% &lt; Ratio ≤5%</t>
        </is>
      </c>
      <c r="F9" s="93" t="inlineStr">
        <is>
          <t>5% &lt; Ratio ≤15%</t>
        </is>
      </c>
      <c r="G9" s="93" t="inlineStr">
        <is>
          <t>15% &lt; Ratio ≤40%</t>
        </is>
      </c>
      <c r="H9" s="93" t="inlineStr">
        <is>
          <t>Ratio &gt; 40%</t>
        </is>
      </c>
      <c r="I9" s="94" t="inlineStr">
        <is>
          <t>Remark</t>
        </is>
      </c>
    </row>
    <row r="10" ht="24" customHeight="1" s="191">
      <c r="B10" s="213" t="n"/>
      <c r="C10" s="95" t="inlineStr">
        <is>
          <t>&gt; 84 hours</t>
        </is>
      </c>
      <c r="D10" s="215" t="inlineStr">
        <is>
          <t>Priority</t>
        </is>
      </c>
      <c r="E10" s="216" t="n"/>
      <c r="F10" s="216" t="n"/>
      <c r="G10" s="216" t="n"/>
      <c r="H10" s="217" t="n"/>
      <c r="I10" s="96" t="inlineStr">
        <is>
          <r>
            <t xml:space="preserve"> - </t>
          </r>
          <r>
            <rPr>
              <rFont val="Arial"/>
              <family val="2"/>
              <b val="1"/>
              <color rgb="FF0000FF"/>
              <sz val="9"/>
            </rPr>
            <t>If anyone found, priority violation</t>
          </r>
        </is>
      </c>
    </row>
    <row r="11" ht="15.6" customHeight="1" s="191">
      <c r="B11" s="213" t="n"/>
      <c r="C11" s="95" t="inlineStr">
        <is>
          <t>72 &lt; hours &lt;= 84</t>
        </is>
      </c>
      <c r="D11" s="97" t="inlineStr">
        <is>
          <t>Conformance</t>
        </is>
      </c>
      <c r="E11" s="98" t="inlineStr">
        <is>
          <t>Minor</t>
        </is>
      </c>
      <c r="F11" s="99" t="inlineStr">
        <is>
          <t>Major</t>
        </is>
      </c>
      <c r="G11" s="100" t="inlineStr">
        <is>
          <t>Priority</t>
        </is>
      </c>
      <c r="H11" s="100" t="inlineStr">
        <is>
          <t>Priority</t>
        </is>
      </c>
      <c r="I11" s="101" t="n"/>
    </row>
    <row r="12" ht="22.8" customHeight="1" s="191">
      <c r="B12" s="213" t="n"/>
      <c r="C12" s="95" t="inlineStr">
        <is>
          <t>60 &lt; hours &lt;= 72</t>
        </is>
      </c>
      <c r="D12" s="97" t="inlineStr">
        <is>
          <t>Conformance</t>
        </is>
      </c>
      <c r="E12" s="97" t="inlineStr">
        <is>
          <t>Conformance</t>
        </is>
      </c>
      <c r="F12" s="98" t="inlineStr">
        <is>
          <t>Minor</t>
        </is>
      </c>
      <c r="G12" s="99" t="inlineStr">
        <is>
          <t>Major</t>
        </is>
      </c>
      <c r="H12" s="100" t="inlineStr">
        <is>
          <t>Priority</t>
        </is>
      </c>
      <c r="I12" s="32" t="n"/>
    </row>
    <row r="13" ht="22.8" customHeight="1" s="191">
      <c r="B13" s="213" t="n"/>
      <c r="C13" s="95" t="inlineStr">
        <is>
          <t>Local law &lt; hours &lt;= 60</t>
        </is>
      </c>
      <c r="D13" s="97" t="inlineStr">
        <is>
          <t>Conformance</t>
        </is>
      </c>
      <c r="E13" s="97" t="inlineStr">
        <is>
          <t>Conformance</t>
        </is>
      </c>
      <c r="F13" s="98" t="inlineStr">
        <is>
          <t>Minor</t>
        </is>
      </c>
      <c r="G13" s="98" t="inlineStr">
        <is>
          <t>Minor</t>
        </is>
      </c>
      <c r="H13" s="99" t="inlineStr">
        <is>
          <t>Major</t>
        </is>
      </c>
      <c r="I13" s="32" t="n"/>
    </row>
    <row r="14" ht="16.5" customHeight="1" s="191">
      <c r="B14" s="214" t="n"/>
      <c r="C14" s="95" t="inlineStr">
        <is>
          <t>hrs &lt;= 60 and hrs &lt;= local law</t>
        </is>
      </c>
      <c r="D14" s="218" t="inlineStr">
        <is>
          <t>Conformance</t>
        </is>
      </c>
      <c r="E14" s="216" t="n"/>
      <c r="F14" s="216" t="n"/>
      <c r="G14" s="216" t="n"/>
      <c r="H14" s="217" t="n"/>
      <c r="I14" s="32" t="n"/>
    </row>
    <row r="15">
      <c r="B15" s="102" t="n"/>
      <c r="C15" s="79" t="n"/>
      <c r="D15" s="79" t="n"/>
      <c r="E15" s="79" t="n"/>
      <c r="F15" s="79" t="n"/>
      <c r="G15" s="79" t="n"/>
      <c r="H15" s="79" t="n"/>
      <c r="I15" s="91" t="n"/>
    </row>
    <row r="16" ht="15.6" customHeight="1" s="191">
      <c r="B16" s="219" t="inlineStr">
        <is>
          <t>AL302</t>
        </is>
      </c>
      <c r="C16" s="103" t="inlineStr">
        <is>
          <t xml:space="preserve">Consecutive working days </t>
        </is>
      </c>
      <c r="D16" s="93" t="inlineStr">
        <is>
          <t>≤1%**</t>
        </is>
      </c>
      <c r="E16" s="93" t="inlineStr">
        <is>
          <t>&gt;1% to ≤5%</t>
        </is>
      </c>
      <c r="F16" s="93" t="inlineStr">
        <is>
          <t>&gt;5% to ≤40%</t>
        </is>
      </c>
      <c r="G16" s="93" t="inlineStr">
        <is>
          <t>&gt;40%</t>
        </is>
      </c>
      <c r="H16" s="104" t="n"/>
      <c r="I16" s="91" t="n"/>
    </row>
    <row r="17" ht="15.6" customHeight="1" s="191">
      <c r="B17" s="213" t="n"/>
      <c r="C17" s="105" t="inlineStr">
        <is>
          <t>24 &lt;= CWD</t>
        </is>
      </c>
      <c r="D17" s="100" t="inlineStr">
        <is>
          <t>Priority</t>
        </is>
      </c>
      <c r="E17" s="216" t="n"/>
      <c r="F17" s="216" t="n"/>
      <c r="G17" s="220" t="n"/>
      <c r="H17" s="104" t="n"/>
      <c r="I17" s="91" t="n"/>
    </row>
    <row r="18" ht="15.6" customHeight="1" s="191">
      <c r="B18" s="213" t="n"/>
      <c r="C18" s="105" t="inlineStr">
        <is>
          <t>12 &lt;= CWD &lt; 24</t>
        </is>
      </c>
      <c r="D18" s="98" t="inlineStr">
        <is>
          <t>Minor</t>
        </is>
      </c>
      <c r="E18" s="98" t="inlineStr">
        <is>
          <t>Minor</t>
        </is>
      </c>
      <c r="F18" s="99" t="inlineStr">
        <is>
          <t>Major</t>
        </is>
      </c>
      <c r="G18" s="100" t="inlineStr">
        <is>
          <t>Priority</t>
        </is>
      </c>
      <c r="H18" s="104" t="n"/>
      <c r="I18" s="91" t="n"/>
    </row>
    <row r="19" ht="15.6" customHeight="1" s="191">
      <c r="B19" s="213" t="n"/>
      <c r="C19" s="106" t="inlineStr">
        <is>
          <t>6 &lt; CWD &lt;12</t>
        </is>
      </c>
      <c r="D19" s="107" t="inlineStr">
        <is>
          <t>Conformance</t>
        </is>
      </c>
      <c r="E19" s="108" t="inlineStr">
        <is>
          <t>Minor</t>
        </is>
      </c>
      <c r="F19" s="108" t="inlineStr">
        <is>
          <t>Minor</t>
        </is>
      </c>
      <c r="G19" s="109" t="inlineStr">
        <is>
          <t>Major</t>
        </is>
      </c>
      <c r="H19" s="104" t="n"/>
      <c r="I19" s="91" t="n"/>
    </row>
    <row r="20" ht="16.2" customHeight="1" s="191" thickBot="1">
      <c r="B20" s="221" t="n"/>
      <c r="C20" s="110" t="inlineStr">
        <is>
          <r>
            <rPr>
              <rFont val="돋움"/>
              <charset val="129"/>
              <family val="3"/>
              <color rgb="FF000000"/>
              <sz val="9"/>
            </rPr>
            <t>≤</t>
          </r>
          <r>
            <rPr>
              <rFont val="Arial"/>
              <family val="2"/>
              <color rgb="FF000000"/>
              <sz val="9"/>
            </rPr>
            <t>6 CWD</t>
          </r>
        </is>
      </c>
      <c r="D20" s="181" t="inlineStr">
        <is>
          <t>Conformance</t>
        </is>
      </c>
      <c r="E20" s="222" t="n"/>
      <c r="F20" s="222" t="n"/>
      <c r="G20" s="223" t="n"/>
      <c r="H20" s="111" t="n"/>
      <c r="I20" s="112" t="n"/>
    </row>
    <row r="21" ht="15" customHeight="1" s="191" thickTop="1">
      <c r="B21" s="79" t="n"/>
      <c r="C21" s="79" t="n"/>
      <c r="D21" s="79" t="n"/>
      <c r="E21" s="79" t="n"/>
      <c r="F21" s="79" t="n"/>
      <c r="G21" s="79" t="n"/>
    </row>
    <row r="22">
      <c r="B22" s="79" t="n"/>
      <c r="C22" s="79" t="n"/>
      <c r="D22" s="79" t="n"/>
      <c r="E22" s="79" t="n"/>
      <c r="F22" s="79" t="n"/>
      <c r="G22" s="79" t="n"/>
    </row>
  </sheetData>
  <mergeCells count="9">
    <mergeCell ref="B9:B14"/>
    <mergeCell ref="D17:G17"/>
    <mergeCell ref="D10:H10"/>
    <mergeCell ref="D20:G20"/>
    <mergeCell ref="B2:B7"/>
    <mergeCell ref="D14:H14"/>
    <mergeCell ref="C1:I1"/>
    <mergeCell ref="C2:F2"/>
    <mergeCell ref="B16:B20"/>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E466"/>
  <sheetViews>
    <sheetView topLeftCell="A310" workbookViewId="0">
      <selection activeCell="I370" sqref="I370"/>
    </sheetView>
  </sheetViews>
  <sheetFormatPr baseColWidth="8" defaultRowHeight="14.4"/>
  <cols>
    <col width="9" customWidth="1" style="66" min="1" max="1"/>
    <col width="12.88671875" customWidth="1" style="191" min="2" max="3"/>
    <col width="23.6640625" bestFit="1" customWidth="1" style="191" min="4" max="4"/>
    <col width="12.88671875" bestFit="1" customWidth="1" style="224" min="5" max="5"/>
  </cols>
  <sheetData>
    <row r="1">
      <c r="A1" s="36" t="inlineStr">
        <is>
          <t>Audit ID</t>
        </is>
      </c>
      <c r="B1" s="61" t="inlineStr">
        <is>
          <t>Grade</t>
        </is>
      </c>
      <c r="C1" s="61" t="inlineStr">
        <is>
          <t>Section</t>
        </is>
      </c>
      <c r="D1" s="61" t="inlineStr">
        <is>
          <t>ID&amp;Grade&amp;Section</t>
        </is>
      </c>
      <c r="E1" s="225" t="inlineStr">
        <is>
          <t>Score</t>
        </is>
      </c>
    </row>
    <row r="2">
      <c r="A2" s="61" t="inlineStr">
        <is>
          <t>AL101</t>
        </is>
      </c>
      <c r="B2" s="61" t="inlineStr">
        <is>
          <t>Conformance</t>
        </is>
      </c>
      <c r="C2" s="61" t="inlineStr">
        <is>
          <t>Labor</t>
        </is>
      </c>
      <c r="D2" s="61">
        <f>A2&amp;B2&amp;C2</f>
        <v/>
      </c>
      <c r="E2" s="226" t="n">
        <v>5</v>
      </c>
    </row>
    <row r="3">
      <c r="A3" s="61" t="inlineStr">
        <is>
          <t>AL101</t>
        </is>
      </c>
      <c r="B3" s="61" t="inlineStr">
        <is>
          <t>Priority</t>
        </is>
      </c>
      <c r="C3" s="61" t="inlineStr">
        <is>
          <t>Labor</t>
        </is>
      </c>
      <c r="D3" s="61">
        <f>A3&amp;B3&amp;C3</f>
        <v/>
      </c>
      <c r="E3" s="226" t="n">
        <v>0</v>
      </c>
    </row>
    <row r="4">
      <c r="A4" s="61" t="inlineStr">
        <is>
          <t>AL101</t>
        </is>
      </c>
      <c r="B4" s="61" t="inlineStr">
        <is>
          <t>Major</t>
        </is>
      </c>
      <c r="C4" s="61" t="inlineStr">
        <is>
          <t>Labor</t>
        </is>
      </c>
      <c r="D4" s="61">
        <f>A4&amp;B4&amp;C4</f>
        <v/>
      </c>
      <c r="E4" s="226" t="n">
        <v>1</v>
      </c>
    </row>
    <row r="5">
      <c r="A5" s="61" t="inlineStr">
        <is>
          <t>AL101</t>
        </is>
      </c>
      <c r="B5" s="61" t="inlineStr">
        <is>
          <t>Minor</t>
        </is>
      </c>
      <c r="C5" s="61" t="inlineStr">
        <is>
          <t>Labor</t>
        </is>
      </c>
      <c r="D5" s="61">
        <f>A5&amp;B5&amp;C5</f>
        <v/>
      </c>
      <c r="E5" s="226" t="n">
        <v>3</v>
      </c>
    </row>
    <row r="6">
      <c r="A6" s="61" t="inlineStr">
        <is>
          <t>AL101</t>
        </is>
      </c>
      <c r="B6" s="61" t="inlineStr">
        <is>
          <t>N/A</t>
        </is>
      </c>
      <c r="C6" s="61" t="inlineStr">
        <is>
          <t>Labor</t>
        </is>
      </c>
      <c r="D6" s="61">
        <f>A6&amp;B6&amp;C6</f>
        <v/>
      </c>
      <c r="E6" s="226" t="n">
        <v>5</v>
      </c>
    </row>
    <row r="7">
      <c r="A7" s="61" t="inlineStr">
        <is>
          <t>AL102</t>
        </is>
      </c>
      <c r="B7" s="61" t="inlineStr">
        <is>
          <t>Conformance</t>
        </is>
      </c>
      <c r="C7" s="61" t="inlineStr">
        <is>
          <t>Labor</t>
        </is>
      </c>
      <c r="D7" s="61">
        <f>A7&amp;B7&amp;C7</f>
        <v/>
      </c>
      <c r="E7" s="225" t="n">
        <v>4</v>
      </c>
    </row>
    <row r="8">
      <c r="A8" s="61" t="inlineStr">
        <is>
          <t>AL102</t>
        </is>
      </c>
      <c r="B8" s="61" t="inlineStr">
        <is>
          <t>Priority</t>
        </is>
      </c>
      <c r="C8" s="61" t="inlineStr">
        <is>
          <t>Labor</t>
        </is>
      </c>
      <c r="D8" s="61">
        <f>A8&amp;B8&amp;C8</f>
        <v/>
      </c>
      <c r="E8" s="225" t="n">
        <v>0</v>
      </c>
    </row>
    <row r="9">
      <c r="A9" s="61" t="inlineStr">
        <is>
          <t>AL102</t>
        </is>
      </c>
      <c r="B9" s="61" t="inlineStr">
        <is>
          <t>Major</t>
        </is>
      </c>
      <c r="C9" s="61" t="inlineStr">
        <is>
          <t>Labor</t>
        </is>
      </c>
      <c r="D9" s="61">
        <f>A9&amp;B9&amp;C9</f>
        <v/>
      </c>
      <c r="E9" s="225" t="n">
        <v>1</v>
      </c>
    </row>
    <row r="10">
      <c r="A10" s="61" t="inlineStr">
        <is>
          <t>AL102</t>
        </is>
      </c>
      <c r="B10" s="61" t="inlineStr">
        <is>
          <t>Minor</t>
        </is>
      </c>
      <c r="C10" s="61" t="inlineStr">
        <is>
          <t>Labor</t>
        </is>
      </c>
      <c r="D10" s="61">
        <f>A10&amp;B10&amp;C10</f>
        <v/>
      </c>
      <c r="E10" s="225" t="n">
        <v>2</v>
      </c>
    </row>
    <row r="11">
      <c r="A11" s="61" t="inlineStr">
        <is>
          <t>AL102</t>
        </is>
      </c>
      <c r="B11" s="61" t="inlineStr">
        <is>
          <t>N/A</t>
        </is>
      </c>
      <c r="C11" s="61" t="inlineStr">
        <is>
          <t>Labor</t>
        </is>
      </c>
      <c r="D11" s="61">
        <f>A11&amp;B11&amp;C11</f>
        <v/>
      </c>
      <c r="E11" s="225" t="n">
        <v>4</v>
      </c>
    </row>
    <row r="12">
      <c r="A12" s="61" t="inlineStr">
        <is>
          <t>AL103</t>
        </is>
      </c>
      <c r="B12" s="61" t="inlineStr">
        <is>
          <t>Conformance</t>
        </is>
      </c>
      <c r="C12" s="61" t="inlineStr">
        <is>
          <t>Labor</t>
        </is>
      </c>
      <c r="D12" s="61">
        <f>A12&amp;B12&amp;C12</f>
        <v/>
      </c>
      <c r="E12" s="225" t="n">
        <v>4</v>
      </c>
    </row>
    <row r="13">
      <c r="A13" s="61" t="inlineStr">
        <is>
          <t>AL103</t>
        </is>
      </c>
      <c r="B13" s="61" t="inlineStr">
        <is>
          <t>Priority</t>
        </is>
      </c>
      <c r="C13" s="61" t="inlineStr">
        <is>
          <t>Labor</t>
        </is>
      </c>
      <c r="D13" s="61">
        <f>A13&amp;B13&amp;C13</f>
        <v/>
      </c>
      <c r="E13" s="225" t="n">
        <v>0</v>
      </c>
    </row>
    <row r="14">
      <c r="A14" s="61" t="inlineStr">
        <is>
          <t>AL103</t>
        </is>
      </c>
      <c r="B14" s="61" t="inlineStr">
        <is>
          <t>Major</t>
        </is>
      </c>
      <c r="C14" s="61" t="inlineStr">
        <is>
          <t>Labor</t>
        </is>
      </c>
      <c r="D14" s="61">
        <f>A14&amp;B14&amp;C14</f>
        <v/>
      </c>
      <c r="E14" s="225" t="n">
        <v>1</v>
      </c>
    </row>
    <row r="15">
      <c r="A15" s="61" t="inlineStr">
        <is>
          <t>AL103</t>
        </is>
      </c>
      <c r="B15" s="61" t="inlineStr">
        <is>
          <t>Minor</t>
        </is>
      </c>
      <c r="C15" s="61" t="inlineStr">
        <is>
          <t>Labor</t>
        </is>
      </c>
      <c r="D15" s="61">
        <f>A15&amp;B15&amp;C15</f>
        <v/>
      </c>
      <c r="E15" s="225" t="n">
        <v>2</v>
      </c>
    </row>
    <row r="16">
      <c r="A16" s="61" t="inlineStr">
        <is>
          <t>AL103</t>
        </is>
      </c>
      <c r="B16" s="61" t="inlineStr">
        <is>
          <t>N/A</t>
        </is>
      </c>
      <c r="C16" s="61" t="inlineStr">
        <is>
          <t>Labor</t>
        </is>
      </c>
      <c r="D16" s="61">
        <f>A16&amp;B16&amp;C16</f>
        <v/>
      </c>
      <c r="E16" s="225" t="n">
        <v>4</v>
      </c>
    </row>
    <row r="17">
      <c r="A17" s="61" t="inlineStr">
        <is>
          <t>AL201</t>
        </is>
      </c>
      <c r="B17" s="61" t="inlineStr">
        <is>
          <t>Conformance</t>
        </is>
      </c>
      <c r="C17" s="61" t="inlineStr">
        <is>
          <t>Labor</t>
        </is>
      </c>
      <c r="D17" s="61">
        <f>A17&amp;B17&amp;C17</f>
        <v/>
      </c>
      <c r="E17" s="227" t="n">
        <v>5</v>
      </c>
    </row>
    <row r="18">
      <c r="A18" s="61" t="inlineStr">
        <is>
          <t>AL201</t>
        </is>
      </c>
      <c r="B18" s="61" t="inlineStr">
        <is>
          <t>Priority</t>
        </is>
      </c>
      <c r="C18" s="61" t="inlineStr">
        <is>
          <t>Labor</t>
        </is>
      </c>
      <c r="D18" s="61">
        <f>A18&amp;B18&amp;C18</f>
        <v/>
      </c>
      <c r="E18" s="227" t="n">
        <v>0</v>
      </c>
    </row>
    <row r="19">
      <c r="A19" s="61" t="inlineStr">
        <is>
          <t>AL201</t>
        </is>
      </c>
      <c r="B19" s="61" t="inlineStr">
        <is>
          <t>Major</t>
        </is>
      </c>
      <c r="C19" s="61" t="inlineStr">
        <is>
          <t>Labor</t>
        </is>
      </c>
      <c r="D19" s="61">
        <f>A19&amp;B19&amp;C19</f>
        <v/>
      </c>
      <c r="E19" s="227" t="n">
        <v>1</v>
      </c>
    </row>
    <row r="20">
      <c r="A20" s="61" t="inlineStr">
        <is>
          <t>AL201</t>
        </is>
      </c>
      <c r="B20" s="61" t="inlineStr">
        <is>
          <t>Minor</t>
        </is>
      </c>
      <c r="C20" s="61" t="inlineStr">
        <is>
          <t>Labor</t>
        </is>
      </c>
      <c r="D20" s="61">
        <f>A20&amp;B20&amp;C20</f>
        <v/>
      </c>
      <c r="E20" s="227" t="n">
        <v>3</v>
      </c>
    </row>
    <row r="21">
      <c r="A21" s="61" t="inlineStr">
        <is>
          <t>AL201</t>
        </is>
      </c>
      <c r="B21" s="61" t="inlineStr">
        <is>
          <t>N/A</t>
        </is>
      </c>
      <c r="C21" s="61" t="inlineStr">
        <is>
          <t>Labor</t>
        </is>
      </c>
      <c r="D21" s="61">
        <f>A21&amp;B21&amp;C21</f>
        <v/>
      </c>
      <c r="E21" s="227" t="n">
        <v>5</v>
      </c>
    </row>
    <row r="22">
      <c r="A22" s="61" t="inlineStr">
        <is>
          <t>AL202</t>
        </is>
      </c>
      <c r="B22" s="61" t="inlineStr">
        <is>
          <t>Conformance</t>
        </is>
      </c>
      <c r="C22" s="61" t="inlineStr">
        <is>
          <t>Labor</t>
        </is>
      </c>
      <c r="D22" s="61">
        <f>A22&amp;B22&amp;C22</f>
        <v/>
      </c>
      <c r="E22" s="227" t="n">
        <v>4</v>
      </c>
    </row>
    <row r="23">
      <c r="A23" s="61" t="inlineStr">
        <is>
          <t>AL202</t>
        </is>
      </c>
      <c r="B23" s="61" t="inlineStr">
        <is>
          <t>Priority</t>
        </is>
      </c>
      <c r="C23" s="61" t="inlineStr">
        <is>
          <t>Labor</t>
        </is>
      </c>
      <c r="D23" s="61">
        <f>A23&amp;B23&amp;C23</f>
        <v/>
      </c>
      <c r="E23" s="227" t="n">
        <v>0</v>
      </c>
    </row>
    <row r="24">
      <c r="A24" s="61" t="inlineStr">
        <is>
          <t>AL202</t>
        </is>
      </c>
      <c r="B24" s="61" t="inlineStr">
        <is>
          <t>Major</t>
        </is>
      </c>
      <c r="C24" s="61" t="inlineStr">
        <is>
          <t>Labor</t>
        </is>
      </c>
      <c r="D24" s="61">
        <f>A24&amp;B24&amp;C24</f>
        <v/>
      </c>
      <c r="E24" s="227" t="n">
        <v>1</v>
      </c>
    </row>
    <row r="25">
      <c r="A25" s="61" t="inlineStr">
        <is>
          <t>AL202</t>
        </is>
      </c>
      <c r="B25" s="61" t="inlineStr">
        <is>
          <t>Minor</t>
        </is>
      </c>
      <c r="C25" s="61" t="inlineStr">
        <is>
          <t>Labor</t>
        </is>
      </c>
      <c r="D25" s="61">
        <f>A25&amp;B25&amp;C25</f>
        <v/>
      </c>
      <c r="E25" s="227" t="n">
        <v>2</v>
      </c>
    </row>
    <row r="26">
      <c r="A26" s="61" t="inlineStr">
        <is>
          <t>AL202</t>
        </is>
      </c>
      <c r="B26" s="61" t="inlineStr">
        <is>
          <t>N/A</t>
        </is>
      </c>
      <c r="C26" s="61" t="inlineStr">
        <is>
          <t>Labor</t>
        </is>
      </c>
      <c r="D26" s="61">
        <f>A26&amp;B26&amp;C26</f>
        <v/>
      </c>
      <c r="E26" s="227" t="n">
        <v>4</v>
      </c>
    </row>
    <row r="27">
      <c r="A27" s="61" t="inlineStr">
        <is>
          <t>AL203</t>
        </is>
      </c>
      <c r="B27" s="61" t="inlineStr">
        <is>
          <t>Conformance</t>
        </is>
      </c>
      <c r="C27" s="61" t="inlineStr">
        <is>
          <t>Labor</t>
        </is>
      </c>
      <c r="D27" s="61">
        <f>A27&amp;B27&amp;C27</f>
        <v/>
      </c>
      <c r="E27" s="227" t="n">
        <v>3</v>
      </c>
    </row>
    <row r="28">
      <c r="A28" s="61" t="inlineStr">
        <is>
          <t>AL203</t>
        </is>
      </c>
      <c r="B28" s="61" t="inlineStr">
        <is>
          <t>Priority</t>
        </is>
      </c>
      <c r="C28" s="61" t="inlineStr">
        <is>
          <t>Labor</t>
        </is>
      </c>
      <c r="D28" s="61">
        <f>A28&amp;B28&amp;C28</f>
        <v/>
      </c>
      <c r="E28" s="227" t="n">
        <v>0</v>
      </c>
    </row>
    <row r="29">
      <c r="A29" s="61" t="inlineStr">
        <is>
          <t>AL203</t>
        </is>
      </c>
      <c r="B29" s="61" t="inlineStr">
        <is>
          <t>Major</t>
        </is>
      </c>
      <c r="C29" s="61" t="inlineStr">
        <is>
          <t>Labor</t>
        </is>
      </c>
      <c r="D29" s="61">
        <f>A29&amp;B29&amp;C29</f>
        <v/>
      </c>
      <c r="E29" s="227" t="n">
        <v>0</v>
      </c>
    </row>
    <row r="30">
      <c r="A30" s="61" t="inlineStr">
        <is>
          <t>AL203</t>
        </is>
      </c>
      <c r="B30" s="61" t="inlineStr">
        <is>
          <t>Minor</t>
        </is>
      </c>
      <c r="C30" s="61" t="inlineStr">
        <is>
          <t>Labor</t>
        </is>
      </c>
      <c r="D30" s="61">
        <f>A30&amp;B30&amp;C30</f>
        <v/>
      </c>
      <c r="E30" s="227" t="n">
        <v>1</v>
      </c>
    </row>
    <row r="31">
      <c r="A31" s="61" t="inlineStr">
        <is>
          <t>AL203</t>
        </is>
      </c>
      <c r="B31" s="61" t="inlineStr">
        <is>
          <t>N/A</t>
        </is>
      </c>
      <c r="C31" s="61" t="inlineStr">
        <is>
          <t>Labor</t>
        </is>
      </c>
      <c r="D31" s="61">
        <f>A31&amp;B31&amp;C31</f>
        <v/>
      </c>
      <c r="E31" s="227" t="n">
        <v>3</v>
      </c>
    </row>
    <row r="32">
      <c r="A32" s="61" t="inlineStr">
        <is>
          <t>AL301</t>
        </is>
      </c>
      <c r="B32" s="61" t="inlineStr">
        <is>
          <t>Conformance</t>
        </is>
      </c>
      <c r="C32" s="61" t="inlineStr">
        <is>
          <t>Labor</t>
        </is>
      </c>
      <c r="D32" s="61">
        <f>A32&amp;B32&amp;C32</f>
        <v/>
      </c>
      <c r="E32" s="227" t="n">
        <v>5</v>
      </c>
    </row>
    <row r="33">
      <c r="A33" s="61" t="inlineStr">
        <is>
          <t>AL301</t>
        </is>
      </c>
      <c r="B33" s="61" t="inlineStr">
        <is>
          <t>Priority</t>
        </is>
      </c>
      <c r="C33" s="61" t="inlineStr">
        <is>
          <t>Labor</t>
        </is>
      </c>
      <c r="D33" s="61">
        <f>A33&amp;B33&amp;C33</f>
        <v/>
      </c>
      <c r="E33" s="227" t="n">
        <v>0</v>
      </c>
    </row>
    <row r="34">
      <c r="A34" s="61" t="inlineStr">
        <is>
          <t>AL301</t>
        </is>
      </c>
      <c r="B34" s="61" t="inlineStr">
        <is>
          <t>Major</t>
        </is>
      </c>
      <c r="C34" s="61" t="inlineStr">
        <is>
          <t>Labor</t>
        </is>
      </c>
      <c r="D34" s="61">
        <f>A34&amp;B34&amp;C34</f>
        <v/>
      </c>
      <c r="E34" s="227" t="n">
        <v>1</v>
      </c>
    </row>
    <row r="35">
      <c r="A35" s="61" t="inlineStr">
        <is>
          <t>AL301</t>
        </is>
      </c>
      <c r="B35" s="61" t="inlineStr">
        <is>
          <t>Minor</t>
        </is>
      </c>
      <c r="C35" s="61" t="inlineStr">
        <is>
          <t>Labor</t>
        </is>
      </c>
      <c r="D35" s="61">
        <f>A35&amp;B35&amp;C35</f>
        <v/>
      </c>
      <c r="E35" s="227" t="n">
        <v>3</v>
      </c>
    </row>
    <row r="36">
      <c r="A36" s="61" t="inlineStr">
        <is>
          <t>AL301</t>
        </is>
      </c>
      <c r="B36" s="61" t="inlineStr">
        <is>
          <t>N/A</t>
        </is>
      </c>
      <c r="C36" s="61" t="inlineStr">
        <is>
          <t>Labor</t>
        </is>
      </c>
      <c r="D36" s="61">
        <f>A36&amp;B36&amp;C36</f>
        <v/>
      </c>
      <c r="E36" s="227" t="n">
        <v>5</v>
      </c>
    </row>
    <row r="37">
      <c r="A37" s="61" t="inlineStr">
        <is>
          <t>AL302</t>
        </is>
      </c>
      <c r="B37" s="61" t="inlineStr">
        <is>
          <t>Conformance</t>
        </is>
      </c>
      <c r="C37" s="61" t="inlineStr">
        <is>
          <t>Labor</t>
        </is>
      </c>
      <c r="D37" s="61">
        <f>A37&amp;B37&amp;C37</f>
        <v/>
      </c>
      <c r="E37" s="227" t="n">
        <v>4</v>
      </c>
    </row>
    <row r="38">
      <c r="A38" s="61" t="inlineStr">
        <is>
          <t>AL302</t>
        </is>
      </c>
      <c r="B38" s="61" t="inlineStr">
        <is>
          <t>Priority</t>
        </is>
      </c>
      <c r="C38" s="61" t="inlineStr">
        <is>
          <t>Labor</t>
        </is>
      </c>
      <c r="D38" s="61">
        <f>A38&amp;B38&amp;C38</f>
        <v/>
      </c>
      <c r="E38" s="227" t="n">
        <v>0</v>
      </c>
    </row>
    <row r="39">
      <c r="A39" s="61" t="inlineStr">
        <is>
          <t>AL302</t>
        </is>
      </c>
      <c r="B39" s="61" t="inlineStr">
        <is>
          <t>Major</t>
        </is>
      </c>
      <c r="C39" s="61" t="inlineStr">
        <is>
          <t>Labor</t>
        </is>
      </c>
      <c r="D39" s="61">
        <f>A39&amp;B39&amp;C39</f>
        <v/>
      </c>
      <c r="E39" s="227" t="n">
        <v>1</v>
      </c>
    </row>
    <row r="40">
      <c r="A40" s="61" t="inlineStr">
        <is>
          <t>AL302</t>
        </is>
      </c>
      <c r="B40" s="61" t="inlineStr">
        <is>
          <t>Minor</t>
        </is>
      </c>
      <c r="C40" s="61" t="inlineStr">
        <is>
          <t>Labor</t>
        </is>
      </c>
      <c r="D40" s="61">
        <f>A40&amp;B40&amp;C40</f>
        <v/>
      </c>
      <c r="E40" s="227" t="n">
        <v>2</v>
      </c>
    </row>
    <row r="41">
      <c r="A41" s="61" t="inlineStr">
        <is>
          <t>AL302</t>
        </is>
      </c>
      <c r="B41" s="61" t="inlineStr">
        <is>
          <t>N/A</t>
        </is>
      </c>
      <c r="C41" s="61" t="inlineStr">
        <is>
          <t>Labor</t>
        </is>
      </c>
      <c r="D41" s="61">
        <f>A41&amp;B41&amp;C41</f>
        <v/>
      </c>
      <c r="E41" s="227" t="n">
        <v>4</v>
      </c>
    </row>
    <row r="42">
      <c r="A42" s="61" t="inlineStr">
        <is>
          <t>AL303</t>
        </is>
      </c>
      <c r="B42" s="61" t="inlineStr">
        <is>
          <t>Conformance</t>
        </is>
      </c>
      <c r="C42" s="61" t="inlineStr">
        <is>
          <t>Labor</t>
        </is>
      </c>
      <c r="D42" s="61">
        <f>A42&amp;B42&amp;C42</f>
        <v/>
      </c>
      <c r="E42" s="227" t="n">
        <v>4</v>
      </c>
    </row>
    <row r="43">
      <c r="A43" s="61" t="inlineStr">
        <is>
          <t>AL303</t>
        </is>
      </c>
      <c r="B43" s="61" t="inlineStr">
        <is>
          <t>Priority</t>
        </is>
      </c>
      <c r="C43" s="61" t="inlineStr">
        <is>
          <t>Labor</t>
        </is>
      </c>
      <c r="D43" s="61">
        <f>A43&amp;B43&amp;C43</f>
        <v/>
      </c>
      <c r="E43" s="227" t="n">
        <v>0</v>
      </c>
    </row>
    <row r="44">
      <c r="A44" s="61" t="inlineStr">
        <is>
          <t>AL303</t>
        </is>
      </c>
      <c r="B44" s="61" t="inlineStr">
        <is>
          <t>Major</t>
        </is>
      </c>
      <c r="C44" s="61" t="inlineStr">
        <is>
          <t>Labor</t>
        </is>
      </c>
      <c r="D44" s="61">
        <f>A44&amp;B44&amp;C44</f>
        <v/>
      </c>
      <c r="E44" s="227" t="n">
        <v>1</v>
      </c>
    </row>
    <row r="45">
      <c r="A45" s="61" t="inlineStr">
        <is>
          <t>AL303</t>
        </is>
      </c>
      <c r="B45" s="61" t="inlineStr">
        <is>
          <t>Minor</t>
        </is>
      </c>
      <c r="C45" s="61" t="inlineStr">
        <is>
          <t>Labor</t>
        </is>
      </c>
      <c r="D45" s="61">
        <f>A45&amp;B45&amp;C45</f>
        <v/>
      </c>
      <c r="E45" s="227" t="n">
        <v>2</v>
      </c>
    </row>
    <row r="46">
      <c r="A46" s="61" t="inlineStr">
        <is>
          <t>AL303</t>
        </is>
      </c>
      <c r="B46" s="61" t="inlineStr">
        <is>
          <t>N/A</t>
        </is>
      </c>
      <c r="C46" s="61" t="inlineStr">
        <is>
          <t>Labor</t>
        </is>
      </c>
      <c r="D46" s="61">
        <f>A46&amp;B46&amp;C46</f>
        <v/>
      </c>
      <c r="E46" s="227" t="n">
        <v>4</v>
      </c>
    </row>
    <row r="47">
      <c r="A47" s="61" t="inlineStr">
        <is>
          <t>AL401</t>
        </is>
      </c>
      <c r="B47" s="61" t="inlineStr">
        <is>
          <t>Conformance</t>
        </is>
      </c>
      <c r="C47" s="61" t="inlineStr">
        <is>
          <t>Labor</t>
        </is>
      </c>
      <c r="D47" s="61">
        <f>A47&amp;B47&amp;C47</f>
        <v/>
      </c>
      <c r="E47" s="227" t="n">
        <v>5</v>
      </c>
    </row>
    <row r="48">
      <c r="A48" s="61" t="inlineStr">
        <is>
          <t>AL401</t>
        </is>
      </c>
      <c r="B48" s="61" t="inlineStr">
        <is>
          <t>Priority</t>
        </is>
      </c>
      <c r="C48" s="61" t="inlineStr">
        <is>
          <t>Labor</t>
        </is>
      </c>
      <c r="D48" s="61">
        <f>A48&amp;B48&amp;C48</f>
        <v/>
      </c>
      <c r="E48" s="227" t="n">
        <v>0</v>
      </c>
    </row>
    <row r="49">
      <c r="A49" s="61" t="inlineStr">
        <is>
          <t>AL401</t>
        </is>
      </c>
      <c r="B49" s="61" t="inlineStr">
        <is>
          <t>Major</t>
        </is>
      </c>
      <c r="C49" s="61" t="inlineStr">
        <is>
          <t>Labor</t>
        </is>
      </c>
      <c r="D49" s="61">
        <f>A49&amp;B49&amp;C49</f>
        <v/>
      </c>
      <c r="E49" s="227" t="n">
        <v>1</v>
      </c>
    </row>
    <row r="50">
      <c r="A50" s="61" t="inlineStr">
        <is>
          <t>AL401</t>
        </is>
      </c>
      <c r="B50" s="61" t="inlineStr">
        <is>
          <t>Minor</t>
        </is>
      </c>
      <c r="C50" s="61" t="inlineStr">
        <is>
          <t>Labor</t>
        </is>
      </c>
      <c r="D50" s="61">
        <f>A50&amp;B50&amp;C50</f>
        <v/>
      </c>
      <c r="E50" s="227" t="n">
        <v>3</v>
      </c>
    </row>
    <row r="51">
      <c r="A51" s="61" t="inlineStr">
        <is>
          <t>AL401</t>
        </is>
      </c>
      <c r="B51" s="61" t="inlineStr">
        <is>
          <t>N/A</t>
        </is>
      </c>
      <c r="C51" s="61" t="inlineStr">
        <is>
          <t>Labor</t>
        </is>
      </c>
      <c r="D51" s="61">
        <f>A51&amp;B51&amp;C51</f>
        <v/>
      </c>
      <c r="E51" s="227" t="n">
        <v>5</v>
      </c>
    </row>
    <row r="52">
      <c r="A52" s="61" t="inlineStr">
        <is>
          <t>AL402</t>
        </is>
      </c>
      <c r="B52" s="61" t="inlineStr">
        <is>
          <t>Conformance</t>
        </is>
      </c>
      <c r="C52" s="61" t="inlineStr">
        <is>
          <t>Labor</t>
        </is>
      </c>
      <c r="D52" s="61">
        <f>A52&amp;B52&amp;C52</f>
        <v/>
      </c>
      <c r="E52" s="227" t="n">
        <v>4</v>
      </c>
    </row>
    <row r="53">
      <c r="A53" s="61" t="inlineStr">
        <is>
          <t>AL402</t>
        </is>
      </c>
      <c r="B53" s="61" t="inlineStr">
        <is>
          <t>Priority</t>
        </is>
      </c>
      <c r="C53" s="61" t="inlineStr">
        <is>
          <t>Labor</t>
        </is>
      </c>
      <c r="D53" s="61">
        <f>A53&amp;B53&amp;C53</f>
        <v/>
      </c>
      <c r="E53" s="227" t="n">
        <v>0</v>
      </c>
    </row>
    <row r="54">
      <c r="A54" s="61" t="inlineStr">
        <is>
          <t>AL402</t>
        </is>
      </c>
      <c r="B54" s="61" t="inlineStr">
        <is>
          <t>Major</t>
        </is>
      </c>
      <c r="C54" s="61" t="inlineStr">
        <is>
          <t>Labor</t>
        </is>
      </c>
      <c r="D54" s="61">
        <f>A54&amp;B54&amp;C54</f>
        <v/>
      </c>
      <c r="E54" s="227" t="n">
        <v>1</v>
      </c>
    </row>
    <row r="55">
      <c r="A55" s="61" t="inlineStr">
        <is>
          <t>AL402</t>
        </is>
      </c>
      <c r="B55" s="61" t="inlineStr">
        <is>
          <t>Minor</t>
        </is>
      </c>
      <c r="C55" s="61" t="inlineStr">
        <is>
          <t>Labor</t>
        </is>
      </c>
      <c r="D55" s="61">
        <f>A55&amp;B55&amp;C55</f>
        <v/>
      </c>
      <c r="E55" s="227" t="n">
        <v>2</v>
      </c>
    </row>
    <row r="56">
      <c r="A56" s="61" t="inlineStr">
        <is>
          <t>AL402</t>
        </is>
      </c>
      <c r="B56" s="61" t="inlineStr">
        <is>
          <t>N/A</t>
        </is>
      </c>
      <c r="C56" s="61" t="inlineStr">
        <is>
          <t>Labor</t>
        </is>
      </c>
      <c r="D56" s="61">
        <f>A56&amp;B56&amp;C56</f>
        <v/>
      </c>
      <c r="E56" s="227" t="n">
        <v>4</v>
      </c>
    </row>
    <row r="57">
      <c r="A57" s="61" t="inlineStr">
        <is>
          <t>AL403</t>
        </is>
      </c>
      <c r="B57" s="61" t="inlineStr">
        <is>
          <t>Conformance</t>
        </is>
      </c>
      <c r="C57" s="61" t="inlineStr">
        <is>
          <t>Labor</t>
        </is>
      </c>
      <c r="D57" s="61">
        <f>A57&amp;B57&amp;C57</f>
        <v/>
      </c>
      <c r="E57" s="227" t="n">
        <v>5</v>
      </c>
    </row>
    <row r="58">
      <c r="A58" s="61" t="inlineStr">
        <is>
          <t>AL403</t>
        </is>
      </c>
      <c r="B58" s="61" t="inlineStr">
        <is>
          <t>Priority</t>
        </is>
      </c>
      <c r="C58" s="61" t="inlineStr">
        <is>
          <t>Labor</t>
        </is>
      </c>
      <c r="D58" s="61">
        <f>A58&amp;B58&amp;C58</f>
        <v/>
      </c>
      <c r="E58" s="227" t="n">
        <v>0</v>
      </c>
    </row>
    <row r="59">
      <c r="A59" s="61" t="inlineStr">
        <is>
          <t>AL403</t>
        </is>
      </c>
      <c r="B59" s="61" t="inlineStr">
        <is>
          <t>Major</t>
        </is>
      </c>
      <c r="C59" s="61" t="inlineStr">
        <is>
          <t>Labor</t>
        </is>
      </c>
      <c r="D59" s="61">
        <f>A59&amp;B59&amp;C59</f>
        <v/>
      </c>
      <c r="E59" s="227" t="n">
        <v>1</v>
      </c>
    </row>
    <row r="60">
      <c r="A60" s="61" t="inlineStr">
        <is>
          <t>AL403</t>
        </is>
      </c>
      <c r="B60" s="61" t="inlineStr">
        <is>
          <t>Minor</t>
        </is>
      </c>
      <c r="C60" s="61" t="inlineStr">
        <is>
          <t>Labor</t>
        </is>
      </c>
      <c r="D60" s="61">
        <f>A60&amp;B60&amp;C60</f>
        <v/>
      </c>
      <c r="E60" s="227" t="n">
        <v>3</v>
      </c>
    </row>
    <row r="61">
      <c r="A61" s="61" t="inlineStr">
        <is>
          <t>AL403</t>
        </is>
      </c>
      <c r="B61" s="61" t="inlineStr">
        <is>
          <t>N/A</t>
        </is>
      </c>
      <c r="C61" s="61" t="inlineStr">
        <is>
          <t>Labor</t>
        </is>
      </c>
      <c r="D61" s="61">
        <f>A61&amp;B61&amp;C61</f>
        <v/>
      </c>
      <c r="E61" s="227" t="n">
        <v>5</v>
      </c>
    </row>
    <row r="62">
      <c r="A62" s="61" t="inlineStr">
        <is>
          <t>AL501</t>
        </is>
      </c>
      <c r="B62" s="61" t="inlineStr">
        <is>
          <t>Conformance</t>
        </is>
      </c>
      <c r="C62" s="61" t="inlineStr">
        <is>
          <t>Labor</t>
        </is>
      </c>
      <c r="D62" s="61">
        <f>A62&amp;B62&amp;C62</f>
        <v/>
      </c>
      <c r="E62" s="227" t="n">
        <v>5</v>
      </c>
    </row>
    <row r="63">
      <c r="A63" s="61" t="inlineStr">
        <is>
          <t>AL501</t>
        </is>
      </c>
      <c r="B63" s="61" t="inlineStr">
        <is>
          <t>Priority</t>
        </is>
      </c>
      <c r="C63" s="61" t="inlineStr">
        <is>
          <t>Labor</t>
        </is>
      </c>
      <c r="D63" s="61">
        <f>A63&amp;B63&amp;C63</f>
        <v/>
      </c>
      <c r="E63" s="227" t="n">
        <v>0</v>
      </c>
    </row>
    <row r="64">
      <c r="A64" s="61" t="inlineStr">
        <is>
          <t>AL501</t>
        </is>
      </c>
      <c r="B64" s="61" t="inlineStr">
        <is>
          <t>Major</t>
        </is>
      </c>
      <c r="C64" s="61" t="inlineStr">
        <is>
          <t>Labor</t>
        </is>
      </c>
      <c r="D64" s="61">
        <f>A64&amp;B64&amp;C64</f>
        <v/>
      </c>
      <c r="E64" s="227" t="n">
        <v>1</v>
      </c>
    </row>
    <row r="65">
      <c r="A65" s="61" t="inlineStr">
        <is>
          <t>AL501</t>
        </is>
      </c>
      <c r="B65" s="61" t="inlineStr">
        <is>
          <t>Minor</t>
        </is>
      </c>
      <c r="C65" s="61" t="inlineStr">
        <is>
          <t>Labor</t>
        </is>
      </c>
      <c r="D65" s="61">
        <f>A65&amp;B65&amp;C65</f>
        <v/>
      </c>
      <c r="E65" s="227" t="n">
        <v>3</v>
      </c>
    </row>
    <row r="66">
      <c r="A66" s="61" t="inlineStr">
        <is>
          <t>AL501</t>
        </is>
      </c>
      <c r="B66" s="61" t="inlineStr">
        <is>
          <t>N/A</t>
        </is>
      </c>
      <c r="C66" s="61" t="inlineStr">
        <is>
          <t>Labor</t>
        </is>
      </c>
      <c r="D66" s="61">
        <f>A66&amp;B66&amp;C66</f>
        <v/>
      </c>
      <c r="E66" s="227" t="n">
        <v>5</v>
      </c>
    </row>
    <row r="67">
      <c r="A67" s="61" t="inlineStr">
        <is>
          <t>AL502</t>
        </is>
      </c>
      <c r="B67" s="61" t="inlineStr">
        <is>
          <t>Conformance</t>
        </is>
      </c>
      <c r="C67" s="61" t="inlineStr">
        <is>
          <t>Labor</t>
        </is>
      </c>
      <c r="D67" s="61">
        <f>A67&amp;B67&amp;C67</f>
        <v/>
      </c>
      <c r="E67" s="227" t="n">
        <v>3</v>
      </c>
    </row>
    <row r="68">
      <c r="A68" s="61" t="inlineStr">
        <is>
          <t>AL502</t>
        </is>
      </c>
      <c r="B68" s="61" t="inlineStr">
        <is>
          <t>Priority</t>
        </is>
      </c>
      <c r="C68" s="61" t="inlineStr">
        <is>
          <t>Labor</t>
        </is>
      </c>
      <c r="D68" s="61">
        <f>A68&amp;B68&amp;C68</f>
        <v/>
      </c>
      <c r="E68" s="227" t="n">
        <v>0</v>
      </c>
    </row>
    <row r="69">
      <c r="A69" s="61" t="inlineStr">
        <is>
          <t>AL502</t>
        </is>
      </c>
      <c r="B69" s="61" t="inlineStr">
        <is>
          <t>Major</t>
        </is>
      </c>
      <c r="C69" s="61" t="inlineStr">
        <is>
          <t>Labor</t>
        </is>
      </c>
      <c r="D69" s="61">
        <f>A69&amp;B69&amp;C69</f>
        <v/>
      </c>
      <c r="E69" s="227" t="n">
        <v>0</v>
      </c>
    </row>
    <row r="70">
      <c r="A70" s="61" t="inlineStr">
        <is>
          <t>AL502</t>
        </is>
      </c>
      <c r="B70" s="61" t="inlineStr">
        <is>
          <t>Minor</t>
        </is>
      </c>
      <c r="C70" s="61" t="inlineStr">
        <is>
          <t>Labor</t>
        </is>
      </c>
      <c r="D70" s="61">
        <f>A70&amp;B70&amp;C70</f>
        <v/>
      </c>
      <c r="E70" s="227" t="n">
        <v>1</v>
      </c>
    </row>
    <row r="71">
      <c r="A71" s="61" t="inlineStr">
        <is>
          <t>AL502</t>
        </is>
      </c>
      <c r="B71" s="61" t="inlineStr">
        <is>
          <t>N/A</t>
        </is>
      </c>
      <c r="C71" s="61" t="inlineStr">
        <is>
          <t>Labor</t>
        </is>
      </c>
      <c r="D71" s="61">
        <f>A71&amp;B71&amp;C71</f>
        <v/>
      </c>
      <c r="E71" s="227" t="n">
        <v>3</v>
      </c>
    </row>
    <row r="72">
      <c r="A72" s="61" t="inlineStr">
        <is>
          <t>AL503</t>
        </is>
      </c>
      <c r="B72" s="61" t="inlineStr">
        <is>
          <t>Conformance</t>
        </is>
      </c>
      <c r="C72" s="61" t="inlineStr">
        <is>
          <t>Labor</t>
        </is>
      </c>
      <c r="D72" s="61">
        <f>A72&amp;B72&amp;C72</f>
        <v/>
      </c>
      <c r="E72" s="227" t="n">
        <v>1</v>
      </c>
    </row>
    <row r="73">
      <c r="A73" s="61" t="inlineStr">
        <is>
          <t>AL503</t>
        </is>
      </c>
      <c r="B73" s="61" t="inlineStr">
        <is>
          <t>Priority</t>
        </is>
      </c>
      <c r="C73" s="61" t="inlineStr">
        <is>
          <t>Labor</t>
        </is>
      </c>
      <c r="D73" s="61">
        <f>A73&amp;B73&amp;C73</f>
        <v/>
      </c>
      <c r="E73" s="227" t="n">
        <v>0</v>
      </c>
    </row>
    <row r="74">
      <c r="A74" s="61" t="inlineStr">
        <is>
          <t>AL503</t>
        </is>
      </c>
      <c r="B74" s="61" t="inlineStr">
        <is>
          <t>Major</t>
        </is>
      </c>
      <c r="C74" s="61" t="inlineStr">
        <is>
          <t>Labor</t>
        </is>
      </c>
      <c r="D74" s="61">
        <f>A74&amp;B74&amp;C74</f>
        <v/>
      </c>
      <c r="E74" s="227" t="n">
        <v>0.2</v>
      </c>
    </row>
    <row r="75">
      <c r="A75" s="61" t="inlineStr">
        <is>
          <t>AL503</t>
        </is>
      </c>
      <c r="B75" s="61" t="inlineStr">
        <is>
          <t>Minor</t>
        </is>
      </c>
      <c r="C75" s="61" t="inlineStr">
        <is>
          <t>Labor</t>
        </is>
      </c>
      <c r="D75" s="61">
        <f>A75&amp;B75&amp;C75</f>
        <v/>
      </c>
      <c r="E75" s="227" t="n">
        <v>0.5</v>
      </c>
    </row>
    <row r="76">
      <c r="A76" s="61" t="inlineStr">
        <is>
          <t>AL503</t>
        </is>
      </c>
      <c r="B76" s="61" t="inlineStr">
        <is>
          <t>N/A</t>
        </is>
      </c>
      <c r="C76" s="61" t="inlineStr">
        <is>
          <t>Labor</t>
        </is>
      </c>
      <c r="D76" s="61">
        <f>A76&amp;B76&amp;C76</f>
        <v/>
      </c>
      <c r="E76" s="227" t="n">
        <v>1</v>
      </c>
    </row>
    <row r="77">
      <c r="A77" s="61" t="inlineStr">
        <is>
          <t>AL504</t>
        </is>
      </c>
      <c r="B77" s="61" t="inlineStr">
        <is>
          <t>Conformance</t>
        </is>
      </c>
      <c r="C77" s="61" t="inlineStr">
        <is>
          <t>Labor</t>
        </is>
      </c>
      <c r="D77" s="61">
        <f>A77&amp;B77&amp;C77</f>
        <v/>
      </c>
      <c r="E77" s="227" t="n">
        <v>1</v>
      </c>
    </row>
    <row r="78">
      <c r="A78" s="61" t="inlineStr">
        <is>
          <t>AL504</t>
        </is>
      </c>
      <c r="B78" s="61" t="inlineStr">
        <is>
          <t>Priority</t>
        </is>
      </c>
      <c r="C78" s="61" t="inlineStr">
        <is>
          <t>Labor</t>
        </is>
      </c>
      <c r="D78" s="61">
        <f>A78&amp;B78&amp;C78</f>
        <v/>
      </c>
      <c r="E78" s="227" t="n">
        <v>0</v>
      </c>
    </row>
    <row r="79">
      <c r="A79" s="61" t="inlineStr">
        <is>
          <t>AL504</t>
        </is>
      </c>
      <c r="B79" s="61" t="inlineStr">
        <is>
          <t>Major</t>
        </is>
      </c>
      <c r="C79" s="61" t="inlineStr">
        <is>
          <t>Labor</t>
        </is>
      </c>
      <c r="D79" s="61">
        <f>A79&amp;B79&amp;C79</f>
        <v/>
      </c>
      <c r="E79" s="227" t="n">
        <v>0.2</v>
      </c>
    </row>
    <row r="80">
      <c r="A80" s="61" t="inlineStr">
        <is>
          <t>AL504</t>
        </is>
      </c>
      <c r="B80" s="61" t="inlineStr">
        <is>
          <t>Minor</t>
        </is>
      </c>
      <c r="C80" s="61" t="inlineStr">
        <is>
          <t>Labor</t>
        </is>
      </c>
      <c r="D80" s="61">
        <f>A80&amp;B80&amp;C80</f>
        <v/>
      </c>
      <c r="E80" s="227" t="n">
        <v>0.5</v>
      </c>
    </row>
    <row r="81">
      <c r="A81" s="61" t="inlineStr">
        <is>
          <t>AL504</t>
        </is>
      </c>
      <c r="B81" s="61" t="inlineStr">
        <is>
          <t>N/A</t>
        </is>
      </c>
      <c r="C81" s="61" t="inlineStr">
        <is>
          <t>Labor</t>
        </is>
      </c>
      <c r="D81" s="61">
        <f>A81&amp;B81&amp;C81</f>
        <v/>
      </c>
      <c r="E81" s="227" t="n">
        <v>1</v>
      </c>
    </row>
    <row r="82">
      <c r="A82" s="61" t="inlineStr">
        <is>
          <t>AL601</t>
        </is>
      </c>
      <c r="B82" s="61" t="inlineStr">
        <is>
          <t>Conformance</t>
        </is>
      </c>
      <c r="C82" s="61" t="inlineStr">
        <is>
          <t>Labor</t>
        </is>
      </c>
      <c r="D82" s="61">
        <f>A82&amp;B82&amp;C82</f>
        <v/>
      </c>
      <c r="E82" s="227" t="n">
        <v>2</v>
      </c>
    </row>
    <row r="83">
      <c r="A83" s="61" t="inlineStr">
        <is>
          <t>AL601</t>
        </is>
      </c>
      <c r="B83" s="61" t="inlineStr">
        <is>
          <t>Priority</t>
        </is>
      </c>
      <c r="C83" s="61" t="inlineStr">
        <is>
          <t>Labor</t>
        </is>
      </c>
      <c r="D83" s="61">
        <f>A83&amp;B83&amp;C83</f>
        <v/>
      </c>
      <c r="E83" s="227" t="n">
        <v>0</v>
      </c>
    </row>
    <row r="84">
      <c r="A84" s="61" t="inlineStr">
        <is>
          <t>AL601</t>
        </is>
      </c>
      <c r="B84" s="61" t="inlineStr">
        <is>
          <t>Major</t>
        </is>
      </c>
      <c r="C84" s="61" t="inlineStr">
        <is>
          <t>Labor</t>
        </is>
      </c>
      <c r="D84" s="61">
        <f>A84&amp;B84&amp;C84</f>
        <v/>
      </c>
      <c r="E84" s="227" t="n">
        <v>0.5</v>
      </c>
    </row>
    <row r="85">
      <c r="A85" s="61" t="inlineStr">
        <is>
          <t>AL601</t>
        </is>
      </c>
      <c r="B85" s="61" t="inlineStr">
        <is>
          <t>Minor</t>
        </is>
      </c>
      <c r="C85" s="61" t="inlineStr">
        <is>
          <t>Labor</t>
        </is>
      </c>
      <c r="D85" s="61">
        <f>A85&amp;B85&amp;C85</f>
        <v/>
      </c>
      <c r="E85" s="227" t="n">
        <v>1</v>
      </c>
    </row>
    <row r="86">
      <c r="A86" s="61" t="inlineStr">
        <is>
          <t>AL601</t>
        </is>
      </c>
      <c r="B86" s="61" t="inlineStr">
        <is>
          <t>N/A</t>
        </is>
      </c>
      <c r="C86" s="61" t="inlineStr">
        <is>
          <t>Labor</t>
        </is>
      </c>
      <c r="D86" s="61">
        <f>A86&amp;B86&amp;C86</f>
        <v/>
      </c>
      <c r="E86" s="227" t="n">
        <v>2</v>
      </c>
    </row>
    <row r="87">
      <c r="A87" s="61" t="inlineStr">
        <is>
          <t>AL602</t>
        </is>
      </c>
      <c r="B87" s="61" t="inlineStr">
        <is>
          <t>Conformance</t>
        </is>
      </c>
      <c r="C87" s="61" t="inlineStr">
        <is>
          <t>Labor</t>
        </is>
      </c>
      <c r="D87" s="61">
        <f>A87&amp;B87&amp;C87</f>
        <v/>
      </c>
      <c r="E87" s="227" t="n">
        <v>2</v>
      </c>
    </row>
    <row r="88">
      <c r="A88" s="61" t="inlineStr">
        <is>
          <t>AL602</t>
        </is>
      </c>
      <c r="B88" s="61" t="inlineStr">
        <is>
          <t>Priority</t>
        </is>
      </c>
      <c r="C88" s="61" t="inlineStr">
        <is>
          <t>Labor</t>
        </is>
      </c>
      <c r="D88" s="61">
        <f>A88&amp;B88&amp;C88</f>
        <v/>
      </c>
      <c r="E88" s="227" t="n">
        <v>0</v>
      </c>
    </row>
    <row r="89">
      <c r="A89" s="61" t="inlineStr">
        <is>
          <t>AL602</t>
        </is>
      </c>
      <c r="B89" s="61" t="inlineStr">
        <is>
          <t>Major</t>
        </is>
      </c>
      <c r="C89" s="61" t="inlineStr">
        <is>
          <t>Labor</t>
        </is>
      </c>
      <c r="D89" s="61">
        <f>A89&amp;B89&amp;C89</f>
        <v/>
      </c>
      <c r="E89" s="227" t="n">
        <v>0.5</v>
      </c>
    </row>
    <row r="90">
      <c r="A90" s="61" t="inlineStr">
        <is>
          <t>AL602</t>
        </is>
      </c>
      <c r="B90" s="61" t="inlineStr">
        <is>
          <t>Minor</t>
        </is>
      </c>
      <c r="C90" s="61" t="inlineStr">
        <is>
          <t>Labor</t>
        </is>
      </c>
      <c r="D90" s="61">
        <f>A90&amp;B90&amp;C90</f>
        <v/>
      </c>
      <c r="E90" s="227" t="n">
        <v>1</v>
      </c>
    </row>
    <row r="91">
      <c r="A91" s="61" t="inlineStr">
        <is>
          <t>AL602</t>
        </is>
      </c>
      <c r="B91" s="61" t="inlineStr">
        <is>
          <t>N/A</t>
        </is>
      </c>
      <c r="C91" s="61" t="inlineStr">
        <is>
          <t>Labor</t>
        </is>
      </c>
      <c r="D91" s="61">
        <f>A91&amp;B91&amp;C91</f>
        <v/>
      </c>
      <c r="E91" s="227" t="n">
        <v>2</v>
      </c>
    </row>
    <row r="92">
      <c r="A92" s="61" t="inlineStr">
        <is>
          <t>AL603</t>
        </is>
      </c>
      <c r="B92" s="61" t="inlineStr">
        <is>
          <t>Conformance</t>
        </is>
      </c>
      <c r="C92" s="61" t="inlineStr">
        <is>
          <t>Labor</t>
        </is>
      </c>
      <c r="D92" s="61">
        <f>A92&amp;B92&amp;C92</f>
        <v/>
      </c>
      <c r="E92" s="227" t="n">
        <v>2</v>
      </c>
    </row>
    <row r="93">
      <c r="A93" s="61" t="inlineStr">
        <is>
          <t>AL603</t>
        </is>
      </c>
      <c r="B93" s="61" t="inlineStr">
        <is>
          <t>Priority</t>
        </is>
      </c>
      <c r="C93" s="61" t="inlineStr">
        <is>
          <t>Labor</t>
        </is>
      </c>
      <c r="D93" s="61">
        <f>A93&amp;B93&amp;C93</f>
        <v/>
      </c>
      <c r="E93" s="227" t="n">
        <v>0</v>
      </c>
    </row>
    <row r="94">
      <c r="A94" s="61" t="inlineStr">
        <is>
          <t>AL603</t>
        </is>
      </c>
      <c r="B94" s="61" t="inlineStr">
        <is>
          <t>Major</t>
        </is>
      </c>
      <c r="C94" s="61" t="inlineStr">
        <is>
          <t>Labor</t>
        </is>
      </c>
      <c r="D94" s="61">
        <f>A94&amp;B94&amp;C94</f>
        <v/>
      </c>
      <c r="E94" s="227" t="n">
        <v>0.5</v>
      </c>
    </row>
    <row r="95">
      <c r="A95" s="61" t="inlineStr">
        <is>
          <t>AL603</t>
        </is>
      </c>
      <c r="B95" s="61" t="inlineStr">
        <is>
          <t>Minor</t>
        </is>
      </c>
      <c r="C95" s="61" t="inlineStr">
        <is>
          <t>Labor</t>
        </is>
      </c>
      <c r="D95" s="61">
        <f>A95&amp;B95&amp;C95</f>
        <v/>
      </c>
      <c r="E95" s="227" t="n">
        <v>1</v>
      </c>
    </row>
    <row r="96">
      <c r="A96" s="61" t="inlineStr">
        <is>
          <t>AL603</t>
        </is>
      </c>
      <c r="B96" s="61" t="inlineStr">
        <is>
          <t>N/A</t>
        </is>
      </c>
      <c r="C96" s="61" t="inlineStr">
        <is>
          <t>Labor</t>
        </is>
      </c>
      <c r="D96" s="61">
        <f>A96&amp;B96&amp;C96</f>
        <v/>
      </c>
      <c r="E96" s="227" t="n">
        <v>2</v>
      </c>
    </row>
    <row r="97">
      <c r="A97" s="61" t="inlineStr">
        <is>
          <t>AM101</t>
        </is>
      </c>
      <c r="B97" s="61" t="inlineStr">
        <is>
          <t>Conformance</t>
        </is>
      </c>
      <c r="C97" s="61" t="inlineStr">
        <is>
          <t>Labor</t>
        </is>
      </c>
      <c r="D97" s="61">
        <f>A97&amp;B97&amp;C97</f>
        <v/>
      </c>
      <c r="E97" s="227" t="n">
        <v>0.5</v>
      </c>
    </row>
    <row r="98">
      <c r="A98" s="61" t="inlineStr">
        <is>
          <t>AM101</t>
        </is>
      </c>
      <c r="B98" s="61" t="inlineStr">
        <is>
          <t>Priority</t>
        </is>
      </c>
      <c r="C98" s="61" t="inlineStr">
        <is>
          <t>Labor</t>
        </is>
      </c>
      <c r="D98" s="61">
        <f>A98&amp;B98&amp;C98</f>
        <v/>
      </c>
      <c r="E98" s="227" t="n">
        <v>0</v>
      </c>
    </row>
    <row r="99">
      <c r="A99" s="61" t="inlineStr">
        <is>
          <t>AM101</t>
        </is>
      </c>
      <c r="B99" s="61" t="inlineStr">
        <is>
          <t>Major</t>
        </is>
      </c>
      <c r="C99" s="61" t="inlineStr">
        <is>
          <t>Labor</t>
        </is>
      </c>
      <c r="D99" s="61">
        <f>A99&amp;B99&amp;C99</f>
        <v/>
      </c>
      <c r="E99" s="227" t="n">
        <v>0.1</v>
      </c>
    </row>
    <row r="100">
      <c r="A100" s="61" t="inlineStr">
        <is>
          <t>AM101</t>
        </is>
      </c>
      <c r="B100" s="61" t="inlineStr">
        <is>
          <t>Minor</t>
        </is>
      </c>
      <c r="C100" s="61" t="inlineStr">
        <is>
          <t>Labor</t>
        </is>
      </c>
      <c r="D100" s="61">
        <f>A100&amp;B100&amp;C100</f>
        <v/>
      </c>
      <c r="E100" s="227" t="n">
        <v>0.3</v>
      </c>
    </row>
    <row r="101">
      <c r="A101" s="61" t="inlineStr">
        <is>
          <t>AM101</t>
        </is>
      </c>
      <c r="B101" s="61" t="inlineStr">
        <is>
          <t>N/A</t>
        </is>
      </c>
      <c r="C101" s="61" t="inlineStr">
        <is>
          <t>Labor</t>
        </is>
      </c>
      <c r="D101" s="61">
        <f>A101&amp;B101&amp;C101</f>
        <v/>
      </c>
      <c r="E101" s="227" t="n">
        <v>0.5</v>
      </c>
    </row>
    <row r="102">
      <c r="A102" s="61" t="inlineStr">
        <is>
          <t>AM102</t>
        </is>
      </c>
      <c r="B102" s="61" t="inlineStr">
        <is>
          <t>Conformance</t>
        </is>
      </c>
      <c r="C102" s="61" t="inlineStr">
        <is>
          <t>Labor</t>
        </is>
      </c>
      <c r="D102" s="61">
        <f>A102&amp;B102&amp;C102</f>
        <v/>
      </c>
      <c r="E102" s="227" t="n">
        <v>0.5</v>
      </c>
    </row>
    <row r="103">
      <c r="A103" s="61" t="inlineStr">
        <is>
          <t>AM102</t>
        </is>
      </c>
      <c r="B103" s="61" t="inlineStr">
        <is>
          <t>Priority</t>
        </is>
      </c>
      <c r="C103" s="61" t="inlineStr">
        <is>
          <t>Labor</t>
        </is>
      </c>
      <c r="D103" s="61">
        <f>A103&amp;B103&amp;C103</f>
        <v/>
      </c>
      <c r="E103" s="227" t="n">
        <v>0</v>
      </c>
    </row>
    <row r="104">
      <c r="A104" s="61" t="inlineStr">
        <is>
          <t>AM102</t>
        </is>
      </c>
      <c r="B104" s="61" t="inlineStr">
        <is>
          <t>Major</t>
        </is>
      </c>
      <c r="C104" s="61" t="inlineStr">
        <is>
          <t>Labor</t>
        </is>
      </c>
      <c r="D104" s="61">
        <f>A104&amp;B104&amp;C104</f>
        <v/>
      </c>
      <c r="E104" s="227" t="n">
        <v>0.1</v>
      </c>
    </row>
    <row r="105">
      <c r="A105" s="61" t="inlineStr">
        <is>
          <t>AM102</t>
        </is>
      </c>
      <c r="B105" s="61" t="inlineStr">
        <is>
          <t>Minor</t>
        </is>
      </c>
      <c r="C105" s="61" t="inlineStr">
        <is>
          <t>Labor</t>
        </is>
      </c>
      <c r="D105" s="61">
        <f>A105&amp;B105&amp;C105</f>
        <v/>
      </c>
      <c r="E105" s="227" t="n">
        <v>0.3</v>
      </c>
    </row>
    <row r="106">
      <c r="A106" s="61" t="inlineStr">
        <is>
          <t>AM102</t>
        </is>
      </c>
      <c r="B106" s="61" t="inlineStr">
        <is>
          <t>N/A</t>
        </is>
      </c>
      <c r="C106" s="61" t="inlineStr">
        <is>
          <t>Labor</t>
        </is>
      </c>
      <c r="D106" s="61">
        <f>A106&amp;B106&amp;C106</f>
        <v/>
      </c>
      <c r="E106" s="227" t="n">
        <v>0.5</v>
      </c>
    </row>
    <row r="107">
      <c r="A107" s="61" t="inlineStr">
        <is>
          <t>AM201</t>
        </is>
      </c>
      <c r="B107" s="61" t="inlineStr">
        <is>
          <t>Conformance</t>
        </is>
      </c>
      <c r="C107" s="61" t="inlineStr">
        <is>
          <t>Labor</t>
        </is>
      </c>
      <c r="D107" s="61">
        <f>A107&amp;B107&amp;C107</f>
        <v/>
      </c>
      <c r="E107" s="227" t="n">
        <v>0.5</v>
      </c>
    </row>
    <row r="108">
      <c r="A108" s="61" t="inlineStr">
        <is>
          <t>AM201</t>
        </is>
      </c>
      <c r="B108" s="61" t="inlineStr">
        <is>
          <t>Priority</t>
        </is>
      </c>
      <c r="C108" s="61" t="inlineStr">
        <is>
          <t>Labor</t>
        </is>
      </c>
      <c r="D108" s="61">
        <f>A108&amp;B108&amp;C108</f>
        <v/>
      </c>
      <c r="E108" s="227" t="n">
        <v>0</v>
      </c>
    </row>
    <row r="109">
      <c r="A109" s="61" t="inlineStr">
        <is>
          <t>AM201</t>
        </is>
      </c>
      <c r="B109" s="61" t="inlineStr">
        <is>
          <t>Major</t>
        </is>
      </c>
      <c r="C109" s="61" t="inlineStr">
        <is>
          <t>Labor</t>
        </is>
      </c>
      <c r="D109" s="61">
        <f>A109&amp;B109&amp;C109</f>
        <v/>
      </c>
      <c r="E109" s="227" t="n">
        <v>0.1</v>
      </c>
    </row>
    <row r="110">
      <c r="A110" s="61" t="inlineStr">
        <is>
          <t>AM201</t>
        </is>
      </c>
      <c r="B110" s="61" t="inlineStr">
        <is>
          <t>Minor</t>
        </is>
      </c>
      <c r="C110" s="61" t="inlineStr">
        <is>
          <t>Labor</t>
        </is>
      </c>
      <c r="D110" s="61">
        <f>A110&amp;B110&amp;C110</f>
        <v/>
      </c>
      <c r="E110" s="227" t="n">
        <v>0.3</v>
      </c>
    </row>
    <row r="111">
      <c r="A111" s="61" t="inlineStr">
        <is>
          <t>AM201</t>
        </is>
      </c>
      <c r="B111" s="61" t="inlineStr">
        <is>
          <t>N/A</t>
        </is>
      </c>
      <c r="C111" s="61" t="inlineStr">
        <is>
          <t>Labor</t>
        </is>
      </c>
      <c r="D111" s="61">
        <f>A111&amp;B111&amp;C111</f>
        <v/>
      </c>
      <c r="E111" s="227" t="n">
        <v>0.5</v>
      </c>
    </row>
    <row r="112">
      <c r="A112" s="61" t="inlineStr">
        <is>
          <t>AM202</t>
        </is>
      </c>
      <c r="B112" s="61" t="inlineStr">
        <is>
          <t>Conformance</t>
        </is>
      </c>
      <c r="C112" s="61" t="inlineStr">
        <is>
          <t>Labor</t>
        </is>
      </c>
      <c r="D112" s="61">
        <f>A112&amp;B112&amp;C112</f>
        <v/>
      </c>
      <c r="E112" s="227" t="n">
        <v>0.5</v>
      </c>
    </row>
    <row r="113">
      <c r="A113" s="61" t="inlineStr">
        <is>
          <t>AM202</t>
        </is>
      </c>
      <c r="B113" s="61" t="inlineStr">
        <is>
          <t>Priority</t>
        </is>
      </c>
      <c r="C113" s="61" t="inlineStr">
        <is>
          <t>Labor</t>
        </is>
      </c>
      <c r="D113" s="61">
        <f>A113&amp;B113&amp;C113</f>
        <v/>
      </c>
      <c r="E113" s="227" t="n">
        <v>0</v>
      </c>
    </row>
    <row r="114">
      <c r="A114" s="61" t="inlineStr">
        <is>
          <t>AM202</t>
        </is>
      </c>
      <c r="B114" s="61" t="inlineStr">
        <is>
          <t>Major</t>
        </is>
      </c>
      <c r="C114" s="61" t="inlineStr">
        <is>
          <t>Labor</t>
        </is>
      </c>
      <c r="D114" s="61">
        <f>A114&amp;B114&amp;C114</f>
        <v/>
      </c>
      <c r="E114" s="227" t="n">
        <v>0.1</v>
      </c>
    </row>
    <row r="115">
      <c r="A115" s="61" t="inlineStr">
        <is>
          <t>AM202</t>
        </is>
      </c>
      <c r="B115" s="61" t="inlineStr">
        <is>
          <t>Minor</t>
        </is>
      </c>
      <c r="C115" s="61" t="inlineStr">
        <is>
          <t>Labor</t>
        </is>
      </c>
      <c r="D115" s="61">
        <f>A115&amp;B115&amp;C115</f>
        <v/>
      </c>
      <c r="E115" s="227" t="n">
        <v>0.3</v>
      </c>
    </row>
    <row r="116">
      <c r="A116" s="61" t="inlineStr">
        <is>
          <t>AM202</t>
        </is>
      </c>
      <c r="B116" s="61" t="inlineStr">
        <is>
          <t>N/A</t>
        </is>
      </c>
      <c r="C116" s="61" t="inlineStr">
        <is>
          <t>Labor</t>
        </is>
      </c>
      <c r="D116" s="61">
        <f>A116&amp;B116&amp;C116</f>
        <v/>
      </c>
      <c r="E116" s="227" t="n">
        <v>0.5</v>
      </c>
    </row>
    <row r="117">
      <c r="A117" s="61" t="inlineStr">
        <is>
          <t>AM203</t>
        </is>
      </c>
      <c r="B117" s="61" t="inlineStr">
        <is>
          <t>Conformance</t>
        </is>
      </c>
      <c r="C117" s="61" t="inlineStr">
        <is>
          <t>Labor</t>
        </is>
      </c>
      <c r="D117" s="61">
        <f>A117&amp;B117&amp;C117</f>
        <v/>
      </c>
      <c r="E117" s="227" t="n">
        <v>0.5</v>
      </c>
    </row>
    <row r="118">
      <c r="A118" s="61" t="inlineStr">
        <is>
          <t>AM203</t>
        </is>
      </c>
      <c r="B118" s="61" t="inlineStr">
        <is>
          <t>Priority</t>
        </is>
      </c>
      <c r="C118" s="61" t="inlineStr">
        <is>
          <t>Labor</t>
        </is>
      </c>
      <c r="D118" s="61">
        <f>A118&amp;B118&amp;C118</f>
        <v/>
      </c>
      <c r="E118" s="227" t="n">
        <v>0</v>
      </c>
    </row>
    <row r="119">
      <c r="A119" s="61" t="inlineStr">
        <is>
          <t>AM203</t>
        </is>
      </c>
      <c r="B119" s="61" t="inlineStr">
        <is>
          <t>Major</t>
        </is>
      </c>
      <c r="C119" s="61" t="inlineStr">
        <is>
          <t>Labor</t>
        </is>
      </c>
      <c r="D119" s="61">
        <f>A119&amp;B119&amp;C119</f>
        <v/>
      </c>
      <c r="E119" s="227" t="n">
        <v>0.1</v>
      </c>
    </row>
    <row r="120">
      <c r="A120" s="61" t="inlineStr">
        <is>
          <t>AM203</t>
        </is>
      </c>
      <c r="B120" s="61" t="inlineStr">
        <is>
          <t>Minor</t>
        </is>
      </c>
      <c r="C120" s="61" t="inlineStr">
        <is>
          <t>Labor</t>
        </is>
      </c>
      <c r="D120" s="61">
        <f>A120&amp;B120&amp;C120</f>
        <v/>
      </c>
      <c r="E120" s="227" t="n">
        <v>0.3</v>
      </c>
    </row>
    <row r="121">
      <c r="A121" s="61" t="inlineStr">
        <is>
          <t>AM203</t>
        </is>
      </c>
      <c r="B121" s="61" t="inlineStr">
        <is>
          <t>N/A</t>
        </is>
      </c>
      <c r="C121" s="61" t="inlineStr">
        <is>
          <t>Labor</t>
        </is>
      </c>
      <c r="D121" s="61">
        <f>A121&amp;B121&amp;C121</f>
        <v/>
      </c>
      <c r="E121" s="227" t="n">
        <v>0.5</v>
      </c>
    </row>
    <row r="122">
      <c r="A122" s="61" t="inlineStr">
        <is>
          <t>AM301</t>
        </is>
      </c>
      <c r="B122" s="61" t="inlineStr">
        <is>
          <t>Conformance</t>
        </is>
      </c>
      <c r="C122" s="61" t="inlineStr">
        <is>
          <t>Labor</t>
        </is>
      </c>
      <c r="D122" s="61">
        <f>A122&amp;B122&amp;C122</f>
        <v/>
      </c>
      <c r="E122" s="227" t="n">
        <v>0.5</v>
      </c>
    </row>
    <row r="123">
      <c r="A123" s="61" t="inlineStr">
        <is>
          <t>AM301</t>
        </is>
      </c>
      <c r="B123" s="61" t="inlineStr">
        <is>
          <t>Priority</t>
        </is>
      </c>
      <c r="C123" s="61" t="inlineStr">
        <is>
          <t>Labor</t>
        </is>
      </c>
      <c r="D123" s="61">
        <f>A123&amp;B123&amp;C123</f>
        <v/>
      </c>
      <c r="E123" s="227" t="n">
        <v>0</v>
      </c>
    </row>
    <row r="124">
      <c r="A124" s="61" t="inlineStr">
        <is>
          <t>AM301</t>
        </is>
      </c>
      <c r="B124" s="61" t="inlineStr">
        <is>
          <t>Major</t>
        </is>
      </c>
      <c r="C124" s="61" t="inlineStr">
        <is>
          <t>Labor</t>
        </is>
      </c>
      <c r="D124" s="61">
        <f>A124&amp;B124&amp;C124</f>
        <v/>
      </c>
      <c r="E124" s="227" t="n">
        <v>0.1</v>
      </c>
    </row>
    <row r="125">
      <c r="A125" s="61" t="inlineStr">
        <is>
          <t>AM301</t>
        </is>
      </c>
      <c r="B125" s="61" t="inlineStr">
        <is>
          <t>Minor</t>
        </is>
      </c>
      <c r="C125" s="61" t="inlineStr">
        <is>
          <t>Labor</t>
        </is>
      </c>
      <c r="D125" s="61">
        <f>A125&amp;B125&amp;C125</f>
        <v/>
      </c>
      <c r="E125" s="227" t="n">
        <v>0.3</v>
      </c>
    </row>
    <row r="126">
      <c r="A126" s="61" t="inlineStr">
        <is>
          <t>AM301</t>
        </is>
      </c>
      <c r="B126" s="61" t="inlineStr">
        <is>
          <t>N/A</t>
        </is>
      </c>
      <c r="C126" s="61" t="inlineStr">
        <is>
          <t>Labor</t>
        </is>
      </c>
      <c r="D126" s="61">
        <f>A126&amp;B126&amp;C126</f>
        <v/>
      </c>
      <c r="E126" s="227" t="n">
        <v>0.5</v>
      </c>
    </row>
    <row r="127">
      <c r="A127" s="61" t="inlineStr">
        <is>
          <t>AM302</t>
        </is>
      </c>
      <c r="B127" s="61" t="inlineStr">
        <is>
          <t>Conformance</t>
        </is>
      </c>
      <c r="C127" s="61" t="inlineStr">
        <is>
          <t>Labor</t>
        </is>
      </c>
      <c r="D127" s="61">
        <f>A127&amp;B127&amp;C127</f>
        <v/>
      </c>
      <c r="E127" s="227" t="n">
        <v>0.5</v>
      </c>
    </row>
    <row r="128">
      <c r="A128" s="61" t="inlineStr">
        <is>
          <t>AM302</t>
        </is>
      </c>
      <c r="B128" s="61" t="inlineStr">
        <is>
          <t>Priority</t>
        </is>
      </c>
      <c r="C128" s="61" t="inlineStr">
        <is>
          <t>Labor</t>
        </is>
      </c>
      <c r="D128" s="61">
        <f>A128&amp;B128&amp;C128</f>
        <v/>
      </c>
      <c r="E128" s="227" t="n">
        <v>0</v>
      </c>
    </row>
    <row r="129">
      <c r="A129" s="61" t="inlineStr">
        <is>
          <t>AM302</t>
        </is>
      </c>
      <c r="B129" s="61" t="inlineStr">
        <is>
          <t>Major</t>
        </is>
      </c>
      <c r="C129" s="61" t="inlineStr">
        <is>
          <t>Labor</t>
        </is>
      </c>
      <c r="D129" s="61">
        <f>A129&amp;B129&amp;C129</f>
        <v/>
      </c>
      <c r="E129" s="227" t="n">
        <v>0.1</v>
      </c>
    </row>
    <row r="130">
      <c r="A130" s="61" t="inlineStr">
        <is>
          <t>AM302</t>
        </is>
      </c>
      <c r="B130" s="61" t="inlineStr">
        <is>
          <t>Minor</t>
        </is>
      </c>
      <c r="C130" s="61" t="inlineStr">
        <is>
          <t>Labor</t>
        </is>
      </c>
      <c r="D130" s="61">
        <f>A130&amp;B130&amp;C130</f>
        <v/>
      </c>
      <c r="E130" s="227" t="n">
        <v>0.3</v>
      </c>
    </row>
    <row r="131">
      <c r="A131" s="61" t="inlineStr">
        <is>
          <t>AM302</t>
        </is>
      </c>
      <c r="B131" s="61" t="inlineStr">
        <is>
          <t>N/A</t>
        </is>
      </c>
      <c r="C131" s="61" t="inlineStr">
        <is>
          <t>Labor</t>
        </is>
      </c>
      <c r="D131" s="61">
        <f>A131&amp;B131&amp;C131</f>
        <v/>
      </c>
      <c r="E131" s="227" t="n">
        <v>0.5</v>
      </c>
    </row>
    <row r="132">
      <c r="A132" s="61" t="inlineStr">
        <is>
          <t>AM401</t>
        </is>
      </c>
      <c r="B132" s="61" t="inlineStr">
        <is>
          <t>Conformance</t>
        </is>
      </c>
      <c r="C132" s="61" t="inlineStr">
        <is>
          <t>Labor</t>
        </is>
      </c>
      <c r="D132" s="61">
        <f>A132&amp;B132&amp;C132</f>
        <v/>
      </c>
      <c r="E132" s="227" t="n">
        <v>0.5</v>
      </c>
    </row>
    <row r="133">
      <c r="A133" s="61" t="inlineStr">
        <is>
          <t>AM401</t>
        </is>
      </c>
      <c r="B133" s="61" t="inlineStr">
        <is>
          <t>Priority</t>
        </is>
      </c>
      <c r="C133" s="61" t="inlineStr">
        <is>
          <t>Labor</t>
        </is>
      </c>
      <c r="D133" s="61">
        <f>A133&amp;B133&amp;C133</f>
        <v/>
      </c>
      <c r="E133" s="227" t="n">
        <v>0</v>
      </c>
    </row>
    <row r="134">
      <c r="A134" s="61" t="inlineStr">
        <is>
          <t>AM401</t>
        </is>
      </c>
      <c r="B134" s="61" t="inlineStr">
        <is>
          <t>Major</t>
        </is>
      </c>
      <c r="C134" s="61" t="inlineStr">
        <is>
          <t>Labor</t>
        </is>
      </c>
      <c r="D134" s="61">
        <f>A134&amp;B134&amp;C134</f>
        <v/>
      </c>
      <c r="E134" s="227" t="n">
        <v>0.1</v>
      </c>
    </row>
    <row r="135">
      <c r="A135" s="61" t="inlineStr">
        <is>
          <t>AM401</t>
        </is>
      </c>
      <c r="B135" s="61" t="inlineStr">
        <is>
          <t>Minor</t>
        </is>
      </c>
      <c r="C135" s="61" t="inlineStr">
        <is>
          <t>Labor</t>
        </is>
      </c>
      <c r="D135" s="61">
        <f>A135&amp;B135&amp;C135</f>
        <v/>
      </c>
      <c r="E135" s="227" t="n">
        <v>0.3</v>
      </c>
    </row>
    <row r="136">
      <c r="A136" s="61" t="inlineStr">
        <is>
          <t>AM401</t>
        </is>
      </c>
      <c r="B136" s="61" t="inlineStr">
        <is>
          <t>N/A</t>
        </is>
      </c>
      <c r="C136" s="61" t="inlineStr">
        <is>
          <t>Labor</t>
        </is>
      </c>
      <c r="D136" s="61">
        <f>A136&amp;B136&amp;C136</f>
        <v/>
      </c>
      <c r="E136" s="227" t="n">
        <v>0.5</v>
      </c>
    </row>
    <row r="137">
      <c r="A137" s="61" t="inlineStr">
        <is>
          <t>AM402</t>
        </is>
      </c>
      <c r="B137" s="61" t="inlineStr">
        <is>
          <t>Conformance</t>
        </is>
      </c>
      <c r="C137" s="61" t="inlineStr">
        <is>
          <t>Labor</t>
        </is>
      </c>
      <c r="D137" s="61">
        <f>A137&amp;B137&amp;C137</f>
        <v/>
      </c>
      <c r="E137" s="227" t="n">
        <v>0.5</v>
      </c>
    </row>
    <row r="138">
      <c r="A138" s="61" t="inlineStr">
        <is>
          <t>AM402</t>
        </is>
      </c>
      <c r="B138" s="61" t="inlineStr">
        <is>
          <t>Priority</t>
        </is>
      </c>
      <c r="C138" s="61" t="inlineStr">
        <is>
          <t>Labor</t>
        </is>
      </c>
      <c r="D138" s="61">
        <f>A138&amp;B138&amp;C138</f>
        <v/>
      </c>
      <c r="E138" s="227" t="n">
        <v>0</v>
      </c>
    </row>
    <row r="139">
      <c r="A139" s="61" t="inlineStr">
        <is>
          <t>AM402</t>
        </is>
      </c>
      <c r="B139" s="61" t="inlineStr">
        <is>
          <t>Major</t>
        </is>
      </c>
      <c r="C139" s="61" t="inlineStr">
        <is>
          <t>Labor</t>
        </is>
      </c>
      <c r="D139" s="61">
        <f>A139&amp;B139&amp;C139</f>
        <v/>
      </c>
      <c r="E139" s="227" t="n">
        <v>0.1</v>
      </c>
    </row>
    <row r="140">
      <c r="A140" s="61" t="inlineStr">
        <is>
          <t>AM402</t>
        </is>
      </c>
      <c r="B140" s="61" t="inlineStr">
        <is>
          <t>Minor</t>
        </is>
      </c>
      <c r="C140" s="61" t="inlineStr">
        <is>
          <t>Labor</t>
        </is>
      </c>
      <c r="D140" s="61">
        <f>A140&amp;B140&amp;C140</f>
        <v/>
      </c>
      <c r="E140" s="227" t="n">
        <v>0.3</v>
      </c>
    </row>
    <row r="141">
      <c r="A141" s="61" t="inlineStr">
        <is>
          <t>AM402</t>
        </is>
      </c>
      <c r="B141" s="61" t="inlineStr">
        <is>
          <t>N/A</t>
        </is>
      </c>
      <c r="C141" s="61" t="inlineStr">
        <is>
          <t>Labor</t>
        </is>
      </c>
      <c r="D141" s="61">
        <f>A141&amp;B141&amp;C141</f>
        <v/>
      </c>
      <c r="E141" s="227" t="n">
        <v>0.5</v>
      </c>
    </row>
    <row r="142">
      <c r="A142" s="61" t="inlineStr">
        <is>
          <t>AM403</t>
        </is>
      </c>
      <c r="B142" s="61" t="inlineStr">
        <is>
          <t>Conformance</t>
        </is>
      </c>
      <c r="C142" s="61" t="inlineStr">
        <is>
          <t>Labor</t>
        </is>
      </c>
      <c r="D142" s="61">
        <f>A142&amp;B142&amp;C142</f>
        <v/>
      </c>
      <c r="E142" s="227" t="n">
        <v>0.5</v>
      </c>
    </row>
    <row r="143">
      <c r="A143" s="61" t="inlineStr">
        <is>
          <t>AM403</t>
        </is>
      </c>
      <c r="B143" s="61" t="inlineStr">
        <is>
          <t>Priority</t>
        </is>
      </c>
      <c r="C143" s="61" t="inlineStr">
        <is>
          <t>Labor</t>
        </is>
      </c>
      <c r="D143" s="61">
        <f>A143&amp;B143&amp;C143</f>
        <v/>
      </c>
      <c r="E143" s="227" t="n">
        <v>0</v>
      </c>
    </row>
    <row r="144">
      <c r="A144" s="61" t="inlineStr">
        <is>
          <t>AM403</t>
        </is>
      </c>
      <c r="B144" s="61" t="inlineStr">
        <is>
          <t>Major</t>
        </is>
      </c>
      <c r="C144" s="61" t="inlineStr">
        <is>
          <t>Labor</t>
        </is>
      </c>
      <c r="D144" s="61">
        <f>A144&amp;B144&amp;C144</f>
        <v/>
      </c>
      <c r="E144" s="227" t="n">
        <v>0.1</v>
      </c>
    </row>
    <row r="145">
      <c r="A145" s="61" t="inlineStr">
        <is>
          <t>AM403</t>
        </is>
      </c>
      <c r="B145" s="61" t="inlineStr">
        <is>
          <t>Minor</t>
        </is>
      </c>
      <c r="C145" s="61" t="inlineStr">
        <is>
          <t>Labor</t>
        </is>
      </c>
      <c r="D145" s="61">
        <f>A145&amp;B145&amp;C145</f>
        <v/>
      </c>
      <c r="E145" s="227" t="n">
        <v>0.3</v>
      </c>
    </row>
    <row r="146">
      <c r="A146" s="61" t="inlineStr">
        <is>
          <t>AM403</t>
        </is>
      </c>
      <c r="B146" s="61" t="inlineStr">
        <is>
          <t>N/A</t>
        </is>
      </c>
      <c r="C146" s="61" t="inlineStr">
        <is>
          <t>Labor</t>
        </is>
      </c>
      <c r="D146" s="61">
        <f>A146&amp;B146&amp;C146</f>
        <v/>
      </c>
      <c r="E146" s="227" t="n">
        <v>0.5</v>
      </c>
    </row>
    <row r="147">
      <c r="A147" s="48" t="inlineStr">
        <is>
          <t>BH101</t>
        </is>
      </c>
      <c r="B147" s="48" t="inlineStr">
        <is>
          <t>Conformance</t>
        </is>
      </c>
      <c r="C147" s="48" t="inlineStr">
        <is>
          <t>EHS</t>
        </is>
      </c>
      <c r="D147" s="48">
        <f>A147&amp;B147&amp;C147</f>
        <v/>
      </c>
      <c r="E147" s="228" t="n">
        <v>3</v>
      </c>
    </row>
    <row r="148">
      <c r="A148" s="48" t="inlineStr">
        <is>
          <t>BH101</t>
        </is>
      </c>
      <c r="B148" s="48" t="inlineStr">
        <is>
          <t>Priority</t>
        </is>
      </c>
      <c r="C148" s="48" t="inlineStr">
        <is>
          <t>EHS</t>
        </is>
      </c>
      <c r="D148" s="48">
        <f>A148&amp;B148&amp;C148</f>
        <v/>
      </c>
      <c r="E148" s="228" t="n">
        <v>0</v>
      </c>
    </row>
    <row r="149">
      <c r="A149" s="48" t="inlineStr">
        <is>
          <t>BH101</t>
        </is>
      </c>
      <c r="B149" s="48" t="inlineStr">
        <is>
          <t>Major</t>
        </is>
      </c>
      <c r="C149" s="48" t="inlineStr">
        <is>
          <t>EHS</t>
        </is>
      </c>
      <c r="D149" s="48">
        <f>A149&amp;B149&amp;C149</f>
        <v/>
      </c>
      <c r="E149" s="228" t="n">
        <v>1</v>
      </c>
    </row>
    <row r="150">
      <c r="A150" s="48" t="inlineStr">
        <is>
          <t>BH101</t>
        </is>
      </c>
      <c r="B150" s="48" t="inlineStr">
        <is>
          <t>Minor</t>
        </is>
      </c>
      <c r="C150" s="48" t="inlineStr">
        <is>
          <t>EHS</t>
        </is>
      </c>
      <c r="D150" s="48">
        <f>A150&amp;B150&amp;C150</f>
        <v/>
      </c>
      <c r="E150" s="228" t="n">
        <v>2</v>
      </c>
    </row>
    <row r="151">
      <c r="A151" s="48" t="inlineStr">
        <is>
          <t>BH101</t>
        </is>
      </c>
      <c r="B151" s="48" t="inlineStr">
        <is>
          <t>N/A</t>
        </is>
      </c>
      <c r="C151" s="48" t="inlineStr">
        <is>
          <t>EHS</t>
        </is>
      </c>
      <c r="D151" s="48">
        <f>A151&amp;B151&amp;C151</f>
        <v/>
      </c>
      <c r="E151" s="228" t="n">
        <v>3</v>
      </c>
    </row>
    <row r="152">
      <c r="A152" s="48" t="inlineStr">
        <is>
          <t>BH102</t>
        </is>
      </c>
      <c r="B152" s="48" t="inlineStr">
        <is>
          <t>Conformance</t>
        </is>
      </c>
      <c r="C152" s="48" t="inlineStr">
        <is>
          <t>EHS</t>
        </is>
      </c>
      <c r="D152" s="48">
        <f>A152&amp;B152&amp;C152</f>
        <v/>
      </c>
      <c r="E152" s="228" t="n">
        <v>5</v>
      </c>
    </row>
    <row r="153">
      <c r="A153" s="48" t="inlineStr">
        <is>
          <t>BH102</t>
        </is>
      </c>
      <c r="B153" s="48" t="inlineStr">
        <is>
          <t>Priority</t>
        </is>
      </c>
      <c r="C153" s="48" t="inlineStr">
        <is>
          <t>EHS</t>
        </is>
      </c>
      <c r="D153" s="48">
        <f>A153&amp;B153&amp;C153</f>
        <v/>
      </c>
      <c r="E153" s="228" t="n">
        <v>0</v>
      </c>
    </row>
    <row r="154">
      <c r="A154" s="48" t="inlineStr">
        <is>
          <t>BH102</t>
        </is>
      </c>
      <c r="B154" s="48" t="inlineStr">
        <is>
          <t>Major</t>
        </is>
      </c>
      <c r="C154" s="48" t="inlineStr">
        <is>
          <t>EHS</t>
        </is>
      </c>
      <c r="D154" s="48">
        <f>A154&amp;B154&amp;C154</f>
        <v/>
      </c>
      <c r="E154" s="228" t="n">
        <v>1</v>
      </c>
    </row>
    <row r="155">
      <c r="A155" s="48" t="inlineStr">
        <is>
          <t>BH102</t>
        </is>
      </c>
      <c r="B155" s="48" t="inlineStr">
        <is>
          <t>Minor</t>
        </is>
      </c>
      <c r="C155" s="48" t="inlineStr">
        <is>
          <t>EHS</t>
        </is>
      </c>
      <c r="D155" s="48">
        <f>A155&amp;B155&amp;C155</f>
        <v/>
      </c>
      <c r="E155" s="228" t="n">
        <v>3</v>
      </c>
    </row>
    <row r="156">
      <c r="A156" s="48" t="inlineStr">
        <is>
          <t>BH102</t>
        </is>
      </c>
      <c r="B156" s="48" t="inlineStr">
        <is>
          <t>N/A</t>
        </is>
      </c>
      <c r="C156" s="48" t="inlineStr">
        <is>
          <t>EHS</t>
        </is>
      </c>
      <c r="D156" s="48">
        <f>A156&amp;B156&amp;C156</f>
        <v/>
      </c>
      <c r="E156" s="228" t="n">
        <v>5</v>
      </c>
    </row>
    <row r="157">
      <c r="A157" s="48" t="inlineStr">
        <is>
          <t>BH103</t>
        </is>
      </c>
      <c r="B157" s="48" t="inlineStr">
        <is>
          <t>Conformance</t>
        </is>
      </c>
      <c r="C157" s="48" t="inlineStr">
        <is>
          <t>EHS</t>
        </is>
      </c>
      <c r="D157" s="48">
        <f>A157&amp;B157&amp;C157</f>
        <v/>
      </c>
      <c r="E157" s="228" t="n">
        <v>2</v>
      </c>
    </row>
    <row r="158">
      <c r="A158" s="48" t="inlineStr">
        <is>
          <t>BH103</t>
        </is>
      </c>
      <c r="B158" s="48" t="inlineStr">
        <is>
          <t>Priority</t>
        </is>
      </c>
      <c r="C158" s="48" t="inlineStr">
        <is>
          <t>EHS</t>
        </is>
      </c>
      <c r="D158" s="48">
        <f>A158&amp;B158&amp;C158</f>
        <v/>
      </c>
      <c r="E158" s="228" t="n">
        <v>0</v>
      </c>
    </row>
    <row r="159">
      <c r="A159" s="48" t="inlineStr">
        <is>
          <t>BH103</t>
        </is>
      </c>
      <c r="B159" s="48" t="inlineStr">
        <is>
          <t>Major</t>
        </is>
      </c>
      <c r="C159" s="48" t="inlineStr">
        <is>
          <t>EHS</t>
        </is>
      </c>
      <c r="D159" s="48">
        <f>A159&amp;B159&amp;C159</f>
        <v/>
      </c>
      <c r="E159" s="228" t="n">
        <v>0.5</v>
      </c>
    </row>
    <row r="160">
      <c r="A160" s="48" t="inlineStr">
        <is>
          <t>BH103</t>
        </is>
      </c>
      <c r="B160" s="48" t="inlineStr">
        <is>
          <t>Minor</t>
        </is>
      </c>
      <c r="C160" s="48" t="inlineStr">
        <is>
          <t>EHS</t>
        </is>
      </c>
      <c r="D160" s="48">
        <f>A160&amp;B160&amp;C160</f>
        <v/>
      </c>
      <c r="E160" s="228" t="n">
        <v>1</v>
      </c>
    </row>
    <row r="161">
      <c r="A161" s="48" t="inlineStr">
        <is>
          <t>BH103</t>
        </is>
      </c>
      <c r="B161" s="48" t="inlineStr">
        <is>
          <t>N/A</t>
        </is>
      </c>
      <c r="C161" s="48" t="inlineStr">
        <is>
          <t>EHS</t>
        </is>
      </c>
      <c r="D161" s="48">
        <f>A161&amp;B161&amp;C161</f>
        <v/>
      </c>
      <c r="E161" s="228" t="n">
        <v>2</v>
      </c>
    </row>
    <row r="162">
      <c r="A162" s="48" t="inlineStr">
        <is>
          <t>BH201</t>
        </is>
      </c>
      <c r="B162" s="48" t="inlineStr">
        <is>
          <t>Conformance</t>
        </is>
      </c>
      <c r="C162" s="48" t="inlineStr">
        <is>
          <t>EHS</t>
        </is>
      </c>
      <c r="D162" s="48">
        <f>A162&amp;B162&amp;C162</f>
        <v/>
      </c>
      <c r="E162" s="228" t="n">
        <v>6</v>
      </c>
    </row>
    <row r="163">
      <c r="A163" s="48" t="inlineStr">
        <is>
          <t>BH201</t>
        </is>
      </c>
      <c r="B163" s="48" t="inlineStr">
        <is>
          <t>Priority</t>
        </is>
      </c>
      <c r="C163" s="48" t="inlineStr">
        <is>
          <t>EHS</t>
        </is>
      </c>
      <c r="D163" s="48">
        <f>A163&amp;B163&amp;C163</f>
        <v/>
      </c>
      <c r="E163" s="228" t="n">
        <v>0</v>
      </c>
    </row>
    <row r="164">
      <c r="A164" s="48" t="inlineStr">
        <is>
          <t>BH201</t>
        </is>
      </c>
      <c r="B164" s="48" t="inlineStr">
        <is>
          <t>Major</t>
        </is>
      </c>
      <c r="C164" s="48" t="inlineStr">
        <is>
          <t>EHS</t>
        </is>
      </c>
      <c r="D164" s="48">
        <f>A164&amp;B164&amp;C164</f>
        <v/>
      </c>
      <c r="E164" s="228" t="n">
        <v>2</v>
      </c>
    </row>
    <row r="165">
      <c r="A165" s="48" t="inlineStr">
        <is>
          <t>BH201</t>
        </is>
      </c>
      <c r="B165" s="48" t="inlineStr">
        <is>
          <t>Minor</t>
        </is>
      </c>
      <c r="C165" s="48" t="inlineStr">
        <is>
          <t>EHS</t>
        </is>
      </c>
      <c r="D165" s="48">
        <f>A165&amp;B165&amp;C165</f>
        <v/>
      </c>
      <c r="E165" s="228" t="n">
        <v>4</v>
      </c>
    </row>
    <row r="166">
      <c r="A166" s="48" t="inlineStr">
        <is>
          <t>BH201</t>
        </is>
      </c>
      <c r="B166" s="48" t="inlineStr">
        <is>
          <t>N/A</t>
        </is>
      </c>
      <c r="C166" s="48" t="inlineStr">
        <is>
          <t>EHS</t>
        </is>
      </c>
      <c r="D166" s="48">
        <f>A166&amp;B166&amp;C166</f>
        <v/>
      </c>
      <c r="E166" s="228" t="n">
        <v>6</v>
      </c>
    </row>
    <row r="167">
      <c r="A167" s="48" t="inlineStr">
        <is>
          <t>BH202</t>
        </is>
      </c>
      <c r="B167" s="48" t="inlineStr">
        <is>
          <t>Conformance</t>
        </is>
      </c>
      <c r="C167" s="48" t="inlineStr">
        <is>
          <t>EHS</t>
        </is>
      </c>
      <c r="D167" s="48">
        <f>A167&amp;B167&amp;C167</f>
        <v/>
      </c>
      <c r="E167" s="228" t="n">
        <v>3</v>
      </c>
    </row>
    <row r="168">
      <c r="A168" s="48" t="inlineStr">
        <is>
          <t>BH202</t>
        </is>
      </c>
      <c r="B168" s="48" t="inlineStr">
        <is>
          <t>Priority</t>
        </is>
      </c>
      <c r="C168" s="48" t="inlineStr">
        <is>
          <t>EHS</t>
        </is>
      </c>
      <c r="D168" s="48">
        <f>A168&amp;B168&amp;C168</f>
        <v/>
      </c>
      <c r="E168" s="228" t="n">
        <v>0</v>
      </c>
    </row>
    <row r="169">
      <c r="A169" s="48" t="inlineStr">
        <is>
          <t>BH202</t>
        </is>
      </c>
      <c r="B169" s="48" t="inlineStr">
        <is>
          <t>Major</t>
        </is>
      </c>
      <c r="C169" s="48" t="inlineStr">
        <is>
          <t>EHS</t>
        </is>
      </c>
      <c r="D169" s="48">
        <f>A169&amp;B169&amp;C169</f>
        <v/>
      </c>
      <c r="E169" s="228" t="n">
        <v>1</v>
      </c>
    </row>
    <row r="170">
      <c r="A170" s="48" t="inlineStr">
        <is>
          <t>BH202</t>
        </is>
      </c>
      <c r="B170" s="48" t="inlineStr">
        <is>
          <t>Minor</t>
        </is>
      </c>
      <c r="C170" s="48" t="inlineStr">
        <is>
          <t>EHS</t>
        </is>
      </c>
      <c r="D170" s="48">
        <f>A170&amp;B170&amp;C170</f>
        <v/>
      </c>
      <c r="E170" s="228" t="n">
        <v>2</v>
      </c>
    </row>
    <row r="171">
      <c r="A171" s="48" t="inlineStr">
        <is>
          <t>BH202</t>
        </is>
      </c>
      <c r="B171" s="48" t="inlineStr">
        <is>
          <t>N/A</t>
        </is>
      </c>
      <c r="C171" s="48" t="inlineStr">
        <is>
          <t>EHS</t>
        </is>
      </c>
      <c r="D171" s="48">
        <f>A171&amp;B171&amp;C171</f>
        <v/>
      </c>
      <c r="E171" s="228" t="n">
        <v>3</v>
      </c>
    </row>
    <row r="172">
      <c r="A172" s="48" t="inlineStr">
        <is>
          <t>BH203</t>
        </is>
      </c>
      <c r="B172" s="48" t="inlineStr">
        <is>
          <t>Conformance</t>
        </is>
      </c>
      <c r="C172" s="48" t="inlineStr">
        <is>
          <t>EHS</t>
        </is>
      </c>
      <c r="D172" s="48">
        <f>A172&amp;B172&amp;C172</f>
        <v/>
      </c>
      <c r="E172" s="228" t="n">
        <v>3</v>
      </c>
    </row>
    <row r="173">
      <c r="A173" s="48" t="inlineStr">
        <is>
          <t>BH203</t>
        </is>
      </c>
      <c r="B173" s="48" t="inlineStr">
        <is>
          <t>Priority</t>
        </is>
      </c>
      <c r="C173" s="48" t="inlineStr">
        <is>
          <t>EHS</t>
        </is>
      </c>
      <c r="D173" s="48">
        <f>A173&amp;B173&amp;C173</f>
        <v/>
      </c>
      <c r="E173" s="228" t="n">
        <v>0</v>
      </c>
    </row>
    <row r="174">
      <c r="A174" s="48" t="inlineStr">
        <is>
          <t>BH203</t>
        </is>
      </c>
      <c r="B174" s="48" t="inlineStr">
        <is>
          <t>Major</t>
        </is>
      </c>
      <c r="C174" s="48" t="inlineStr">
        <is>
          <t>EHS</t>
        </is>
      </c>
      <c r="D174" s="48">
        <f>A174&amp;B174&amp;C174</f>
        <v/>
      </c>
      <c r="E174" s="228" t="n">
        <v>1</v>
      </c>
    </row>
    <row r="175">
      <c r="A175" s="48" t="inlineStr">
        <is>
          <t>BH203</t>
        </is>
      </c>
      <c r="B175" s="48" t="inlineStr">
        <is>
          <t>Minor</t>
        </is>
      </c>
      <c r="C175" s="48" t="inlineStr">
        <is>
          <t>EHS</t>
        </is>
      </c>
      <c r="D175" s="48">
        <f>A175&amp;B175&amp;C175</f>
        <v/>
      </c>
      <c r="E175" s="228" t="n">
        <v>2</v>
      </c>
    </row>
    <row r="176">
      <c r="A176" s="48" t="inlineStr">
        <is>
          <t>BH203</t>
        </is>
      </c>
      <c r="B176" s="48" t="inlineStr">
        <is>
          <t>N/A</t>
        </is>
      </c>
      <c r="C176" s="48" t="inlineStr">
        <is>
          <t>EHS</t>
        </is>
      </c>
      <c r="D176" s="48">
        <f>A176&amp;B176&amp;C176</f>
        <v/>
      </c>
      <c r="E176" s="228" t="n">
        <v>3</v>
      </c>
    </row>
    <row r="177">
      <c r="A177" s="48" t="inlineStr">
        <is>
          <t>BH204</t>
        </is>
      </c>
      <c r="B177" s="48" t="inlineStr">
        <is>
          <t>Conformance</t>
        </is>
      </c>
      <c r="C177" s="48" t="inlineStr">
        <is>
          <t>EHS</t>
        </is>
      </c>
      <c r="D177" s="48">
        <f>A177&amp;B177&amp;C177</f>
        <v/>
      </c>
      <c r="E177" s="228" t="n">
        <v>2</v>
      </c>
    </row>
    <row r="178">
      <c r="A178" s="48" t="inlineStr">
        <is>
          <t>BH204</t>
        </is>
      </c>
      <c r="B178" s="48" t="inlineStr">
        <is>
          <t>Priority</t>
        </is>
      </c>
      <c r="C178" s="48" t="inlineStr">
        <is>
          <t>EHS</t>
        </is>
      </c>
      <c r="D178" s="48">
        <f>A178&amp;B178&amp;C178</f>
        <v/>
      </c>
      <c r="E178" s="228" t="n">
        <v>0</v>
      </c>
    </row>
    <row r="179">
      <c r="A179" s="48" t="inlineStr">
        <is>
          <t>BH204</t>
        </is>
      </c>
      <c r="B179" s="48" t="inlineStr">
        <is>
          <t>Major</t>
        </is>
      </c>
      <c r="C179" s="48" t="inlineStr">
        <is>
          <t>EHS</t>
        </is>
      </c>
      <c r="D179" s="48">
        <f>A179&amp;B179&amp;C179</f>
        <v/>
      </c>
      <c r="E179" s="228" t="n">
        <v>0.5</v>
      </c>
    </row>
    <row r="180">
      <c r="A180" s="48" t="inlineStr">
        <is>
          <t>BH204</t>
        </is>
      </c>
      <c r="B180" s="48" t="inlineStr">
        <is>
          <t>Minor</t>
        </is>
      </c>
      <c r="C180" s="48" t="inlineStr">
        <is>
          <t>EHS</t>
        </is>
      </c>
      <c r="D180" s="48">
        <f>A180&amp;B180&amp;C180</f>
        <v/>
      </c>
      <c r="E180" s="228" t="n">
        <v>1</v>
      </c>
    </row>
    <row r="181">
      <c r="A181" s="48" t="inlineStr">
        <is>
          <t>BH204</t>
        </is>
      </c>
      <c r="B181" s="48" t="inlineStr">
        <is>
          <t>N/A</t>
        </is>
      </c>
      <c r="C181" s="48" t="inlineStr">
        <is>
          <t>EHS</t>
        </is>
      </c>
      <c r="D181" s="48">
        <f>A181&amp;B181&amp;C181</f>
        <v/>
      </c>
      <c r="E181" s="228" t="n">
        <v>2</v>
      </c>
    </row>
    <row r="182">
      <c r="A182" s="48" t="inlineStr">
        <is>
          <t>BH301</t>
        </is>
      </c>
      <c r="B182" s="48" t="inlineStr">
        <is>
          <t>Conformance</t>
        </is>
      </c>
      <c r="C182" s="48" t="inlineStr">
        <is>
          <t>EHS</t>
        </is>
      </c>
      <c r="D182" s="48">
        <f>A182&amp;B182&amp;C182</f>
        <v/>
      </c>
      <c r="E182" s="228" t="n">
        <v>2</v>
      </c>
    </row>
    <row r="183">
      <c r="A183" s="48" t="inlineStr">
        <is>
          <t>BH301</t>
        </is>
      </c>
      <c r="B183" s="48" t="inlineStr">
        <is>
          <t>Priority</t>
        </is>
      </c>
      <c r="C183" s="48" t="inlineStr">
        <is>
          <t>EHS</t>
        </is>
      </c>
      <c r="D183" s="48">
        <f>A183&amp;B183&amp;C183</f>
        <v/>
      </c>
      <c r="E183" s="228" t="n">
        <v>0</v>
      </c>
    </row>
    <row r="184">
      <c r="A184" s="48" t="inlineStr">
        <is>
          <t>BH301</t>
        </is>
      </c>
      <c r="B184" s="48" t="inlineStr">
        <is>
          <t>Major</t>
        </is>
      </c>
      <c r="C184" s="48" t="inlineStr">
        <is>
          <t>EHS</t>
        </is>
      </c>
      <c r="D184" s="48">
        <f>A184&amp;B184&amp;C184</f>
        <v/>
      </c>
      <c r="E184" s="228" t="n">
        <v>0.5</v>
      </c>
    </row>
    <row r="185">
      <c r="A185" s="48" t="inlineStr">
        <is>
          <t>BH301</t>
        </is>
      </c>
      <c r="B185" s="48" t="inlineStr">
        <is>
          <t>Minor</t>
        </is>
      </c>
      <c r="C185" s="48" t="inlineStr">
        <is>
          <t>EHS</t>
        </is>
      </c>
      <c r="D185" s="48">
        <f>A185&amp;B185&amp;C185</f>
        <v/>
      </c>
      <c r="E185" s="228" t="n">
        <v>1</v>
      </c>
    </row>
    <row r="186">
      <c r="A186" s="48" t="inlineStr">
        <is>
          <t>BH301</t>
        </is>
      </c>
      <c r="B186" s="48" t="inlineStr">
        <is>
          <t>N/A</t>
        </is>
      </c>
      <c r="C186" s="48" t="inlineStr">
        <is>
          <t>EHS</t>
        </is>
      </c>
      <c r="D186" s="48">
        <f>A186&amp;B186&amp;C186</f>
        <v/>
      </c>
      <c r="E186" s="228" t="n">
        <v>2</v>
      </c>
    </row>
    <row r="187">
      <c r="A187" s="48" t="inlineStr">
        <is>
          <t>BH302</t>
        </is>
      </c>
      <c r="B187" s="48" t="inlineStr">
        <is>
          <t>Conformance</t>
        </is>
      </c>
      <c r="C187" s="48" t="inlineStr">
        <is>
          <t>EHS</t>
        </is>
      </c>
      <c r="D187" s="48">
        <f>A187&amp;B187&amp;C187</f>
        <v/>
      </c>
      <c r="E187" s="228" t="n">
        <v>2</v>
      </c>
    </row>
    <row r="188">
      <c r="A188" s="48" t="inlineStr">
        <is>
          <t>BH302</t>
        </is>
      </c>
      <c r="B188" s="48" t="inlineStr">
        <is>
          <t>Priority</t>
        </is>
      </c>
      <c r="C188" s="48" t="inlineStr">
        <is>
          <t>EHS</t>
        </is>
      </c>
      <c r="D188" s="48">
        <f>A188&amp;B188&amp;C188</f>
        <v/>
      </c>
      <c r="E188" s="228" t="n">
        <v>0</v>
      </c>
    </row>
    <row r="189">
      <c r="A189" s="48" t="inlineStr">
        <is>
          <t>BH302</t>
        </is>
      </c>
      <c r="B189" s="48" t="inlineStr">
        <is>
          <t>Major</t>
        </is>
      </c>
      <c r="C189" s="48" t="inlineStr">
        <is>
          <t>EHS</t>
        </is>
      </c>
      <c r="D189" s="48">
        <f>A189&amp;B189&amp;C189</f>
        <v/>
      </c>
      <c r="E189" s="228" t="n">
        <v>0.5</v>
      </c>
    </row>
    <row r="190">
      <c r="A190" s="48" t="inlineStr">
        <is>
          <t>BH302</t>
        </is>
      </c>
      <c r="B190" s="48" t="inlineStr">
        <is>
          <t>Minor</t>
        </is>
      </c>
      <c r="C190" s="48" t="inlineStr">
        <is>
          <t>EHS</t>
        </is>
      </c>
      <c r="D190" s="48">
        <f>A190&amp;B190&amp;C190</f>
        <v/>
      </c>
      <c r="E190" s="228" t="n">
        <v>1</v>
      </c>
    </row>
    <row r="191">
      <c r="A191" s="48" t="inlineStr">
        <is>
          <t>BH302</t>
        </is>
      </c>
      <c r="B191" s="48" t="inlineStr">
        <is>
          <t>N/A</t>
        </is>
      </c>
      <c r="C191" s="48" t="inlineStr">
        <is>
          <t>EHS</t>
        </is>
      </c>
      <c r="D191" s="48">
        <f>A191&amp;B191&amp;C191</f>
        <v/>
      </c>
      <c r="E191" s="228" t="n">
        <v>2</v>
      </c>
    </row>
    <row r="192">
      <c r="A192" s="48" t="inlineStr">
        <is>
          <t>BH401</t>
        </is>
      </c>
      <c r="B192" s="48" t="inlineStr">
        <is>
          <t>Conformance</t>
        </is>
      </c>
      <c r="C192" s="48" t="inlineStr">
        <is>
          <t>EHS</t>
        </is>
      </c>
      <c r="D192" s="48">
        <f>A192&amp;B192&amp;C192</f>
        <v/>
      </c>
      <c r="E192" s="228" t="n">
        <v>6</v>
      </c>
    </row>
    <row r="193">
      <c r="A193" s="48" t="inlineStr">
        <is>
          <t>BH401</t>
        </is>
      </c>
      <c r="B193" s="48" t="inlineStr">
        <is>
          <t>Priority</t>
        </is>
      </c>
      <c r="C193" s="48" t="inlineStr">
        <is>
          <t>EHS</t>
        </is>
      </c>
      <c r="D193" s="48">
        <f>A193&amp;B193&amp;C193</f>
        <v/>
      </c>
      <c r="E193" s="228" t="n">
        <v>0</v>
      </c>
    </row>
    <row r="194">
      <c r="A194" s="48" t="inlineStr">
        <is>
          <t>BH401</t>
        </is>
      </c>
      <c r="B194" s="48" t="inlineStr">
        <is>
          <t>Major</t>
        </is>
      </c>
      <c r="C194" s="48" t="inlineStr">
        <is>
          <t>EHS</t>
        </is>
      </c>
      <c r="D194" s="48">
        <f>A194&amp;B194&amp;C194</f>
        <v/>
      </c>
      <c r="E194" s="228" t="n">
        <v>2</v>
      </c>
    </row>
    <row r="195">
      <c r="A195" s="48" t="inlineStr">
        <is>
          <t>BH401</t>
        </is>
      </c>
      <c r="B195" s="48" t="inlineStr">
        <is>
          <t>Minor</t>
        </is>
      </c>
      <c r="C195" s="48" t="inlineStr">
        <is>
          <t>EHS</t>
        </is>
      </c>
      <c r="D195" s="48">
        <f>A195&amp;B195&amp;C195</f>
        <v/>
      </c>
      <c r="E195" s="228" t="n">
        <v>4</v>
      </c>
    </row>
    <row r="196">
      <c r="A196" s="48" t="inlineStr">
        <is>
          <t>BH401</t>
        </is>
      </c>
      <c r="B196" s="48" t="inlineStr">
        <is>
          <t>N/A</t>
        </is>
      </c>
      <c r="C196" s="48" t="inlineStr">
        <is>
          <t>EHS</t>
        </is>
      </c>
      <c r="D196" s="48">
        <f>A196&amp;B196&amp;C196</f>
        <v/>
      </c>
      <c r="E196" s="228" t="n">
        <v>6</v>
      </c>
    </row>
    <row r="197">
      <c r="A197" s="48" t="inlineStr">
        <is>
          <t>BH501</t>
        </is>
      </c>
      <c r="B197" s="48" t="inlineStr">
        <is>
          <t>Conformance</t>
        </is>
      </c>
      <c r="C197" s="48" t="inlineStr">
        <is>
          <t>EHS</t>
        </is>
      </c>
      <c r="D197" s="48">
        <f>A197&amp;B197&amp;C197</f>
        <v/>
      </c>
      <c r="E197" s="228" t="n">
        <v>2</v>
      </c>
    </row>
    <row r="198">
      <c r="A198" s="48" t="inlineStr">
        <is>
          <t>BH501</t>
        </is>
      </c>
      <c r="B198" s="48" t="inlineStr">
        <is>
          <t>Priority</t>
        </is>
      </c>
      <c r="C198" s="48" t="inlineStr">
        <is>
          <t>EHS</t>
        </is>
      </c>
      <c r="D198" s="48">
        <f>A198&amp;B198&amp;C198</f>
        <v/>
      </c>
      <c r="E198" s="228" t="n">
        <v>0</v>
      </c>
    </row>
    <row r="199">
      <c r="A199" s="48" t="inlineStr">
        <is>
          <t>BH501</t>
        </is>
      </c>
      <c r="B199" s="48" t="inlineStr">
        <is>
          <t>Major</t>
        </is>
      </c>
      <c r="C199" s="48" t="inlineStr">
        <is>
          <t>EHS</t>
        </is>
      </c>
      <c r="D199" s="48">
        <f>A199&amp;B199&amp;C199</f>
        <v/>
      </c>
      <c r="E199" s="228" t="n">
        <v>0.5</v>
      </c>
    </row>
    <row r="200">
      <c r="A200" s="48" t="inlineStr">
        <is>
          <t>BH501</t>
        </is>
      </c>
      <c r="B200" s="48" t="inlineStr">
        <is>
          <t>Minor</t>
        </is>
      </c>
      <c r="C200" s="48" t="inlineStr">
        <is>
          <t>EHS</t>
        </is>
      </c>
      <c r="D200" s="48">
        <f>A200&amp;B200&amp;C200</f>
        <v/>
      </c>
      <c r="E200" s="228" t="n">
        <v>1</v>
      </c>
    </row>
    <row r="201">
      <c r="A201" s="48" t="inlineStr">
        <is>
          <t>BH501</t>
        </is>
      </c>
      <c r="B201" s="48" t="inlineStr">
        <is>
          <t>N/A</t>
        </is>
      </c>
      <c r="C201" s="48" t="inlineStr">
        <is>
          <t>EHS</t>
        </is>
      </c>
      <c r="D201" s="48">
        <f>A201&amp;B201&amp;C201</f>
        <v/>
      </c>
      <c r="E201" s="228" t="n">
        <v>2</v>
      </c>
    </row>
    <row r="202">
      <c r="A202" s="48" t="inlineStr">
        <is>
          <t>BH601</t>
        </is>
      </c>
      <c r="B202" s="48" t="inlineStr">
        <is>
          <t>Conformance</t>
        </is>
      </c>
      <c r="C202" s="48" t="inlineStr">
        <is>
          <t>EHS</t>
        </is>
      </c>
      <c r="D202" s="48">
        <f>A202&amp;B202&amp;C202</f>
        <v/>
      </c>
      <c r="E202" s="228" t="n">
        <v>6</v>
      </c>
    </row>
    <row r="203">
      <c r="A203" s="48" t="inlineStr">
        <is>
          <t>BH601</t>
        </is>
      </c>
      <c r="B203" s="48" t="inlineStr">
        <is>
          <t>Priority</t>
        </is>
      </c>
      <c r="C203" s="48" t="inlineStr">
        <is>
          <t>EHS</t>
        </is>
      </c>
      <c r="D203" s="48">
        <f>A203&amp;B203&amp;C203</f>
        <v/>
      </c>
      <c r="E203" s="228" t="n">
        <v>0</v>
      </c>
    </row>
    <row r="204">
      <c r="A204" s="48" t="inlineStr">
        <is>
          <t>BH601</t>
        </is>
      </c>
      <c r="B204" s="48" t="inlineStr">
        <is>
          <t>Major</t>
        </is>
      </c>
      <c r="C204" s="48" t="inlineStr">
        <is>
          <t>EHS</t>
        </is>
      </c>
      <c r="D204" s="48">
        <f>A204&amp;B204&amp;C204</f>
        <v/>
      </c>
      <c r="E204" s="228" t="n">
        <v>2</v>
      </c>
    </row>
    <row r="205">
      <c r="A205" s="48" t="inlineStr">
        <is>
          <t>BH601</t>
        </is>
      </c>
      <c r="B205" s="48" t="inlineStr">
        <is>
          <t>Minor</t>
        </is>
      </c>
      <c r="C205" s="48" t="inlineStr">
        <is>
          <t>EHS</t>
        </is>
      </c>
      <c r="D205" s="48">
        <f>A205&amp;B205&amp;C205</f>
        <v/>
      </c>
      <c r="E205" s="228" t="n">
        <v>4</v>
      </c>
    </row>
    <row r="206">
      <c r="A206" s="48" t="inlineStr">
        <is>
          <t>BH601</t>
        </is>
      </c>
      <c r="B206" s="48" t="inlineStr">
        <is>
          <t>N/A</t>
        </is>
      </c>
      <c r="C206" s="48" t="inlineStr">
        <is>
          <t>EHS</t>
        </is>
      </c>
      <c r="D206" s="48">
        <f>A206&amp;B206&amp;C206</f>
        <v/>
      </c>
      <c r="E206" s="228" t="n">
        <v>6</v>
      </c>
    </row>
    <row r="207">
      <c r="A207" s="48" t="inlineStr">
        <is>
          <t>BH701</t>
        </is>
      </c>
      <c r="B207" s="48" t="inlineStr">
        <is>
          <t>Conformance</t>
        </is>
      </c>
      <c r="C207" s="48" t="inlineStr">
        <is>
          <t>EHS</t>
        </is>
      </c>
      <c r="D207" s="48">
        <f>A207&amp;B207&amp;C207</f>
        <v/>
      </c>
      <c r="E207" s="228" t="n">
        <v>2</v>
      </c>
    </row>
    <row r="208">
      <c r="A208" s="48" t="inlineStr">
        <is>
          <t>BH701</t>
        </is>
      </c>
      <c r="B208" s="48" t="inlineStr">
        <is>
          <t>Priority</t>
        </is>
      </c>
      <c r="C208" s="48" t="inlineStr">
        <is>
          <t>EHS</t>
        </is>
      </c>
      <c r="D208" s="48">
        <f>A208&amp;B208&amp;C208</f>
        <v/>
      </c>
      <c r="E208" s="228" t="n">
        <v>0</v>
      </c>
    </row>
    <row r="209">
      <c r="A209" s="48" t="inlineStr">
        <is>
          <t>BH701</t>
        </is>
      </c>
      <c r="B209" s="48" t="inlineStr">
        <is>
          <t>Major</t>
        </is>
      </c>
      <c r="C209" s="48" t="inlineStr">
        <is>
          <t>EHS</t>
        </is>
      </c>
      <c r="D209" s="48">
        <f>A209&amp;B209&amp;C209</f>
        <v/>
      </c>
      <c r="E209" s="228" t="n">
        <v>0.5</v>
      </c>
    </row>
    <row r="210">
      <c r="A210" s="48" t="inlineStr">
        <is>
          <t>BH701</t>
        </is>
      </c>
      <c r="B210" s="48" t="inlineStr">
        <is>
          <t>Minor</t>
        </is>
      </c>
      <c r="C210" s="48" t="inlineStr">
        <is>
          <t>EHS</t>
        </is>
      </c>
      <c r="D210" s="48">
        <f>A210&amp;B210&amp;C210</f>
        <v/>
      </c>
      <c r="E210" s="228" t="n">
        <v>1</v>
      </c>
    </row>
    <row r="211">
      <c r="A211" s="48" t="inlineStr">
        <is>
          <t>BH701</t>
        </is>
      </c>
      <c r="B211" s="48" t="inlineStr">
        <is>
          <t>N/A</t>
        </is>
      </c>
      <c r="C211" s="48" t="inlineStr">
        <is>
          <t>EHS</t>
        </is>
      </c>
      <c r="D211" s="48">
        <f>A211&amp;B211&amp;C211</f>
        <v/>
      </c>
      <c r="E211" s="228" t="n">
        <v>2</v>
      </c>
    </row>
    <row r="212">
      <c r="A212" s="48" t="inlineStr">
        <is>
          <t>BH702</t>
        </is>
      </c>
      <c r="B212" s="48" t="inlineStr">
        <is>
          <t>Conformance</t>
        </is>
      </c>
      <c r="C212" s="48" t="inlineStr">
        <is>
          <t>EHS</t>
        </is>
      </c>
      <c r="D212" s="48">
        <f>A212&amp;B212&amp;C212</f>
        <v/>
      </c>
      <c r="E212" s="228" t="n">
        <v>2</v>
      </c>
    </row>
    <row r="213">
      <c r="A213" s="48" t="inlineStr">
        <is>
          <t>BH702</t>
        </is>
      </c>
      <c r="B213" s="48" t="inlineStr">
        <is>
          <t>Priority</t>
        </is>
      </c>
      <c r="C213" s="48" t="inlineStr">
        <is>
          <t>EHS</t>
        </is>
      </c>
      <c r="D213" s="48">
        <f>A213&amp;B213&amp;C213</f>
        <v/>
      </c>
      <c r="E213" s="228" t="n">
        <v>0</v>
      </c>
    </row>
    <row r="214">
      <c r="A214" s="48" t="inlineStr">
        <is>
          <t>BH702</t>
        </is>
      </c>
      <c r="B214" s="48" t="inlineStr">
        <is>
          <t>Major</t>
        </is>
      </c>
      <c r="C214" s="48" t="inlineStr">
        <is>
          <t>EHS</t>
        </is>
      </c>
      <c r="D214" s="48">
        <f>A214&amp;B214&amp;C214</f>
        <v/>
      </c>
      <c r="E214" s="228" t="n">
        <v>0.5</v>
      </c>
    </row>
    <row r="215">
      <c r="A215" s="48" t="inlineStr">
        <is>
          <t>BH702</t>
        </is>
      </c>
      <c r="B215" s="48" t="inlineStr">
        <is>
          <t>Minor</t>
        </is>
      </c>
      <c r="C215" s="48" t="inlineStr">
        <is>
          <t>EHS</t>
        </is>
      </c>
      <c r="D215" s="48">
        <f>A215&amp;B215&amp;C215</f>
        <v/>
      </c>
      <c r="E215" s="228" t="n">
        <v>1</v>
      </c>
    </row>
    <row r="216">
      <c r="A216" s="48" t="inlineStr">
        <is>
          <t>BH702</t>
        </is>
      </c>
      <c r="B216" s="48" t="inlineStr">
        <is>
          <t>N/A</t>
        </is>
      </c>
      <c r="C216" s="48" t="inlineStr">
        <is>
          <t>EHS</t>
        </is>
      </c>
      <c r="D216" s="48">
        <f>A216&amp;B216&amp;C216</f>
        <v/>
      </c>
      <c r="E216" s="228" t="n">
        <v>2</v>
      </c>
    </row>
    <row r="217">
      <c r="A217" s="48" t="inlineStr">
        <is>
          <t>BM101</t>
        </is>
      </c>
      <c r="B217" s="48" t="inlineStr">
        <is>
          <t>Conformance</t>
        </is>
      </c>
      <c r="C217" s="48" t="inlineStr">
        <is>
          <t>EHS</t>
        </is>
      </c>
      <c r="D217" s="48">
        <f>A217&amp;B217&amp;C217</f>
        <v/>
      </c>
      <c r="E217" s="228" t="n">
        <v>1</v>
      </c>
    </row>
    <row r="218">
      <c r="A218" s="48" t="inlineStr">
        <is>
          <t>BM101</t>
        </is>
      </c>
      <c r="B218" s="48" t="inlineStr">
        <is>
          <t>Priority</t>
        </is>
      </c>
      <c r="C218" s="48" t="inlineStr">
        <is>
          <t>EHS</t>
        </is>
      </c>
      <c r="D218" s="48">
        <f>A218&amp;B218&amp;C218</f>
        <v/>
      </c>
      <c r="E218" s="228" t="n">
        <v>0</v>
      </c>
    </row>
    <row r="219">
      <c r="A219" s="48" t="inlineStr">
        <is>
          <t>BM101</t>
        </is>
      </c>
      <c r="B219" s="48" t="inlineStr">
        <is>
          <t>Major</t>
        </is>
      </c>
      <c r="C219" s="48" t="inlineStr">
        <is>
          <t>EHS</t>
        </is>
      </c>
      <c r="D219" s="48">
        <f>A219&amp;B219&amp;C219</f>
        <v/>
      </c>
      <c r="E219" s="228" t="n">
        <v>0.2</v>
      </c>
    </row>
    <row r="220">
      <c r="A220" s="48" t="inlineStr">
        <is>
          <t>BM101</t>
        </is>
      </c>
      <c r="B220" s="48" t="inlineStr">
        <is>
          <t>Minor</t>
        </is>
      </c>
      <c r="C220" s="48" t="inlineStr">
        <is>
          <t>EHS</t>
        </is>
      </c>
      <c r="D220" s="48">
        <f>A220&amp;B220&amp;C220</f>
        <v/>
      </c>
      <c r="E220" s="228" t="n">
        <v>0.5</v>
      </c>
    </row>
    <row r="221">
      <c r="A221" s="48" t="inlineStr">
        <is>
          <t>BM101</t>
        </is>
      </c>
      <c r="B221" s="48" t="inlineStr">
        <is>
          <t>N/A</t>
        </is>
      </c>
      <c r="C221" s="48" t="inlineStr">
        <is>
          <t>EHS</t>
        </is>
      </c>
      <c r="D221" s="48">
        <f>A221&amp;B221&amp;C221</f>
        <v/>
      </c>
      <c r="E221" s="228" t="n">
        <v>1</v>
      </c>
    </row>
    <row r="222">
      <c r="A222" s="48" t="inlineStr">
        <is>
          <t>BM102</t>
        </is>
      </c>
      <c r="B222" s="48" t="inlineStr">
        <is>
          <t>Conformance</t>
        </is>
      </c>
      <c r="C222" s="48" t="inlineStr">
        <is>
          <t>EHS</t>
        </is>
      </c>
      <c r="D222" s="48">
        <f>A222&amp;B222&amp;C222</f>
        <v/>
      </c>
      <c r="E222" s="228" t="n">
        <v>3</v>
      </c>
    </row>
    <row r="223">
      <c r="A223" s="48" t="inlineStr">
        <is>
          <t>BM102</t>
        </is>
      </c>
      <c r="B223" s="48" t="inlineStr">
        <is>
          <t>Priority</t>
        </is>
      </c>
      <c r="C223" s="48" t="inlineStr">
        <is>
          <t>EHS</t>
        </is>
      </c>
      <c r="D223" s="48">
        <f>A223&amp;B223&amp;C223</f>
        <v/>
      </c>
      <c r="E223" s="228" t="n">
        <v>0</v>
      </c>
    </row>
    <row r="224">
      <c r="A224" s="48" t="inlineStr">
        <is>
          <t>BM102</t>
        </is>
      </c>
      <c r="B224" s="48" t="inlineStr">
        <is>
          <t>Major</t>
        </is>
      </c>
      <c r="C224" s="48" t="inlineStr">
        <is>
          <t>EHS</t>
        </is>
      </c>
      <c r="D224" s="48">
        <f>A224&amp;B224&amp;C224</f>
        <v/>
      </c>
      <c r="E224" s="228" t="n">
        <v>1</v>
      </c>
    </row>
    <row r="225">
      <c r="A225" s="48" t="inlineStr">
        <is>
          <t>BM102</t>
        </is>
      </c>
      <c r="B225" s="48" t="inlineStr">
        <is>
          <t>Minor</t>
        </is>
      </c>
      <c r="C225" s="48" t="inlineStr">
        <is>
          <t>EHS</t>
        </is>
      </c>
      <c r="D225" s="48">
        <f>A225&amp;B225&amp;C225</f>
        <v/>
      </c>
      <c r="E225" s="228" t="n">
        <v>2</v>
      </c>
    </row>
    <row r="226">
      <c r="A226" s="48" t="inlineStr">
        <is>
          <t>BM102</t>
        </is>
      </c>
      <c r="B226" s="48" t="inlineStr">
        <is>
          <t>N/A</t>
        </is>
      </c>
      <c r="C226" s="48" t="inlineStr">
        <is>
          <t>EHS</t>
        </is>
      </c>
      <c r="D226" s="48">
        <f>A226&amp;B226&amp;C226</f>
        <v/>
      </c>
      <c r="E226" s="228" t="n">
        <v>3</v>
      </c>
    </row>
    <row r="227">
      <c r="A227" s="48" t="inlineStr">
        <is>
          <t>BM201</t>
        </is>
      </c>
      <c r="B227" s="48" t="inlineStr">
        <is>
          <t>Conformance</t>
        </is>
      </c>
      <c r="C227" s="48" t="inlineStr">
        <is>
          <t>EHS</t>
        </is>
      </c>
      <c r="D227" s="48">
        <f>A227&amp;B227&amp;C227</f>
        <v/>
      </c>
      <c r="E227" s="228" t="n">
        <v>2</v>
      </c>
    </row>
    <row r="228">
      <c r="A228" s="48" t="inlineStr">
        <is>
          <t>BM201</t>
        </is>
      </c>
      <c r="B228" s="48" t="inlineStr">
        <is>
          <t>Priority</t>
        </is>
      </c>
      <c r="C228" s="48" t="inlineStr">
        <is>
          <t>EHS</t>
        </is>
      </c>
      <c r="D228" s="48">
        <f>A228&amp;B228&amp;C228</f>
        <v/>
      </c>
      <c r="E228" s="228" t="n">
        <v>0</v>
      </c>
    </row>
    <row r="229">
      <c r="A229" s="48" t="inlineStr">
        <is>
          <t>BM201</t>
        </is>
      </c>
      <c r="B229" s="48" t="inlineStr">
        <is>
          <t>Major</t>
        </is>
      </c>
      <c r="C229" s="48" t="inlineStr">
        <is>
          <t>EHS</t>
        </is>
      </c>
      <c r="D229" s="48">
        <f>A229&amp;B229&amp;C229</f>
        <v/>
      </c>
      <c r="E229" s="228" t="n">
        <v>0.5</v>
      </c>
    </row>
    <row r="230">
      <c r="A230" s="48" t="inlineStr">
        <is>
          <t>BM201</t>
        </is>
      </c>
      <c r="B230" s="48" t="inlineStr">
        <is>
          <t>Minor</t>
        </is>
      </c>
      <c r="C230" s="48" t="inlineStr">
        <is>
          <t>EHS</t>
        </is>
      </c>
      <c r="D230" s="48">
        <f>A230&amp;B230&amp;C230</f>
        <v/>
      </c>
      <c r="E230" s="228" t="n">
        <v>1</v>
      </c>
    </row>
    <row r="231">
      <c r="A231" s="48" t="inlineStr">
        <is>
          <t>BM201</t>
        </is>
      </c>
      <c r="B231" s="48" t="inlineStr">
        <is>
          <t>N/A</t>
        </is>
      </c>
      <c r="C231" s="48" t="inlineStr">
        <is>
          <t>EHS</t>
        </is>
      </c>
      <c r="D231" s="48">
        <f>A231&amp;B231&amp;C231</f>
        <v/>
      </c>
      <c r="E231" s="228" t="n">
        <v>2</v>
      </c>
    </row>
    <row r="232">
      <c r="A232" s="48" t="inlineStr">
        <is>
          <t>BM202</t>
        </is>
      </c>
      <c r="B232" s="48" t="inlineStr">
        <is>
          <t>Conformance</t>
        </is>
      </c>
      <c r="C232" s="48" t="inlineStr">
        <is>
          <t>EHS</t>
        </is>
      </c>
      <c r="D232" s="48">
        <f>A232&amp;B232&amp;C232</f>
        <v/>
      </c>
      <c r="E232" s="228" t="n">
        <v>1</v>
      </c>
    </row>
    <row r="233">
      <c r="A233" s="48" t="inlineStr">
        <is>
          <t>BM202</t>
        </is>
      </c>
      <c r="B233" s="48" t="inlineStr">
        <is>
          <t>Priority</t>
        </is>
      </c>
      <c r="C233" s="48" t="inlineStr">
        <is>
          <t>EHS</t>
        </is>
      </c>
      <c r="D233" s="48">
        <f>A233&amp;B233&amp;C233</f>
        <v/>
      </c>
      <c r="E233" s="228" t="n">
        <v>0</v>
      </c>
    </row>
    <row r="234">
      <c r="A234" s="48" t="inlineStr">
        <is>
          <t>BM202</t>
        </is>
      </c>
      <c r="B234" s="48" t="inlineStr">
        <is>
          <t>Major</t>
        </is>
      </c>
      <c r="C234" s="48" t="inlineStr">
        <is>
          <t>EHS</t>
        </is>
      </c>
      <c r="D234" s="48">
        <f>A234&amp;B234&amp;C234</f>
        <v/>
      </c>
      <c r="E234" s="228" t="n">
        <v>0.2</v>
      </c>
    </row>
    <row r="235">
      <c r="A235" s="48" t="inlineStr">
        <is>
          <t>BM202</t>
        </is>
      </c>
      <c r="B235" s="48" t="inlineStr">
        <is>
          <t>Minor</t>
        </is>
      </c>
      <c r="C235" s="48" t="inlineStr">
        <is>
          <t>EHS</t>
        </is>
      </c>
      <c r="D235" s="48">
        <f>A235&amp;B235&amp;C235</f>
        <v/>
      </c>
      <c r="E235" s="228" t="n">
        <v>0.5</v>
      </c>
    </row>
    <row r="236">
      <c r="A236" s="48" t="inlineStr">
        <is>
          <t>BM202</t>
        </is>
      </c>
      <c r="B236" s="48" t="inlineStr">
        <is>
          <t>N/A</t>
        </is>
      </c>
      <c r="C236" s="48" t="inlineStr">
        <is>
          <t>EHS</t>
        </is>
      </c>
      <c r="D236" s="48">
        <f>A236&amp;B236&amp;C236</f>
        <v/>
      </c>
      <c r="E236" s="228" t="n">
        <v>1</v>
      </c>
    </row>
    <row r="237">
      <c r="A237" s="48" t="inlineStr">
        <is>
          <t>BM203</t>
        </is>
      </c>
      <c r="B237" s="48" t="inlineStr">
        <is>
          <t>Conformance</t>
        </is>
      </c>
      <c r="C237" s="48" t="inlineStr">
        <is>
          <t>EHS</t>
        </is>
      </c>
      <c r="D237" s="48">
        <f>A237&amp;B237&amp;C237</f>
        <v/>
      </c>
      <c r="E237" s="228" t="n">
        <v>2</v>
      </c>
    </row>
    <row r="238">
      <c r="A238" s="48" t="inlineStr">
        <is>
          <t>BM203</t>
        </is>
      </c>
      <c r="B238" s="48" t="inlineStr">
        <is>
          <t>Priority</t>
        </is>
      </c>
      <c r="C238" s="48" t="inlineStr">
        <is>
          <t>EHS</t>
        </is>
      </c>
      <c r="D238" s="48">
        <f>A238&amp;B238&amp;C238</f>
        <v/>
      </c>
      <c r="E238" s="228" t="n">
        <v>0</v>
      </c>
    </row>
    <row r="239">
      <c r="A239" s="48" t="inlineStr">
        <is>
          <t>BM203</t>
        </is>
      </c>
      <c r="B239" s="48" t="inlineStr">
        <is>
          <t>Major</t>
        </is>
      </c>
      <c r="C239" s="48" t="inlineStr">
        <is>
          <t>EHS</t>
        </is>
      </c>
      <c r="D239" s="48">
        <f>A239&amp;B239&amp;C239</f>
        <v/>
      </c>
      <c r="E239" s="228" t="n">
        <v>0.5</v>
      </c>
    </row>
    <row r="240">
      <c r="A240" s="48" t="inlineStr">
        <is>
          <t>BM203</t>
        </is>
      </c>
      <c r="B240" s="48" t="inlineStr">
        <is>
          <t>Minor</t>
        </is>
      </c>
      <c r="C240" s="48" t="inlineStr">
        <is>
          <t>EHS</t>
        </is>
      </c>
      <c r="D240" s="48">
        <f>A240&amp;B240&amp;C240</f>
        <v/>
      </c>
      <c r="E240" s="228" t="n">
        <v>1</v>
      </c>
    </row>
    <row r="241">
      <c r="A241" s="48" t="inlineStr">
        <is>
          <t>BM203</t>
        </is>
      </c>
      <c r="B241" s="48" t="inlineStr">
        <is>
          <t>N/A</t>
        </is>
      </c>
      <c r="C241" s="48" t="inlineStr">
        <is>
          <t>EHS</t>
        </is>
      </c>
      <c r="D241" s="48">
        <f>A241&amp;B241&amp;C241</f>
        <v/>
      </c>
      <c r="E241" s="228" t="n">
        <v>2</v>
      </c>
    </row>
    <row r="242">
      <c r="A242" s="48" t="inlineStr">
        <is>
          <t>BM301</t>
        </is>
      </c>
      <c r="B242" s="48" t="inlineStr">
        <is>
          <t>Conformance</t>
        </is>
      </c>
      <c r="C242" s="48" t="inlineStr">
        <is>
          <t>EHS</t>
        </is>
      </c>
      <c r="D242" s="48">
        <f>A242&amp;B242&amp;C242</f>
        <v/>
      </c>
      <c r="E242" s="228" t="n">
        <v>1</v>
      </c>
    </row>
    <row r="243">
      <c r="A243" s="48" t="inlineStr">
        <is>
          <t>BM301</t>
        </is>
      </c>
      <c r="B243" s="48" t="inlineStr">
        <is>
          <t>Priority</t>
        </is>
      </c>
      <c r="C243" s="48" t="inlineStr">
        <is>
          <t>EHS</t>
        </is>
      </c>
      <c r="D243" s="48">
        <f>A243&amp;B243&amp;C243</f>
        <v/>
      </c>
      <c r="E243" s="228" t="n">
        <v>0</v>
      </c>
    </row>
    <row r="244">
      <c r="A244" s="48" t="inlineStr">
        <is>
          <t>BM301</t>
        </is>
      </c>
      <c r="B244" s="48" t="inlineStr">
        <is>
          <t>Major</t>
        </is>
      </c>
      <c r="C244" s="48" t="inlineStr">
        <is>
          <t>EHS</t>
        </is>
      </c>
      <c r="D244" s="48">
        <f>A244&amp;B244&amp;C244</f>
        <v/>
      </c>
      <c r="E244" s="228" t="n">
        <v>0.2</v>
      </c>
    </row>
    <row r="245">
      <c r="A245" s="48" t="inlineStr">
        <is>
          <t>BM301</t>
        </is>
      </c>
      <c r="B245" s="48" t="inlineStr">
        <is>
          <t>Minor</t>
        </is>
      </c>
      <c r="C245" s="48" t="inlineStr">
        <is>
          <t>EHS</t>
        </is>
      </c>
      <c r="D245" s="48">
        <f>A245&amp;B245&amp;C245</f>
        <v/>
      </c>
      <c r="E245" s="228" t="n">
        <v>0.5</v>
      </c>
    </row>
    <row r="246">
      <c r="A246" s="48" t="inlineStr">
        <is>
          <t>BM301</t>
        </is>
      </c>
      <c r="B246" s="48" t="inlineStr">
        <is>
          <t>N/A</t>
        </is>
      </c>
      <c r="C246" s="48" t="inlineStr">
        <is>
          <t>EHS</t>
        </is>
      </c>
      <c r="D246" s="48">
        <f>A246&amp;B246&amp;C246</f>
        <v/>
      </c>
      <c r="E246" s="228" t="n">
        <v>1</v>
      </c>
    </row>
    <row r="247">
      <c r="A247" s="48" t="inlineStr">
        <is>
          <t>BM302</t>
        </is>
      </c>
      <c r="B247" s="48" t="inlineStr">
        <is>
          <t>Conformance</t>
        </is>
      </c>
      <c r="C247" s="48" t="inlineStr">
        <is>
          <t>EHS</t>
        </is>
      </c>
      <c r="D247" s="48">
        <f>A247&amp;B247&amp;C247</f>
        <v/>
      </c>
      <c r="E247" s="228" t="n">
        <v>1</v>
      </c>
    </row>
    <row r="248">
      <c r="A248" s="48" t="inlineStr">
        <is>
          <t>BM302</t>
        </is>
      </c>
      <c r="B248" s="48" t="inlineStr">
        <is>
          <t>Priority</t>
        </is>
      </c>
      <c r="C248" s="48" t="inlineStr">
        <is>
          <t>EHS</t>
        </is>
      </c>
      <c r="D248" s="48">
        <f>A248&amp;B248&amp;C248</f>
        <v/>
      </c>
      <c r="E248" s="228" t="n">
        <v>0</v>
      </c>
    </row>
    <row r="249">
      <c r="A249" s="48" t="inlineStr">
        <is>
          <t>BM302</t>
        </is>
      </c>
      <c r="B249" s="48" t="inlineStr">
        <is>
          <t>Major</t>
        </is>
      </c>
      <c r="C249" s="48" t="inlineStr">
        <is>
          <t>EHS</t>
        </is>
      </c>
      <c r="D249" s="48">
        <f>A249&amp;B249&amp;C249</f>
        <v/>
      </c>
      <c r="E249" s="228" t="n">
        <v>0.2</v>
      </c>
    </row>
    <row r="250">
      <c r="A250" s="48" t="inlineStr">
        <is>
          <t>BM302</t>
        </is>
      </c>
      <c r="B250" s="48" t="inlineStr">
        <is>
          <t>Minor</t>
        </is>
      </c>
      <c r="C250" s="48" t="inlineStr">
        <is>
          <t>EHS</t>
        </is>
      </c>
      <c r="D250" s="48">
        <f>A250&amp;B250&amp;C250</f>
        <v/>
      </c>
      <c r="E250" s="228" t="n">
        <v>0.5</v>
      </c>
    </row>
    <row r="251">
      <c r="A251" s="48" t="inlineStr">
        <is>
          <t>BM302</t>
        </is>
      </c>
      <c r="B251" s="48" t="inlineStr">
        <is>
          <t>N/A</t>
        </is>
      </c>
      <c r="C251" s="48" t="inlineStr">
        <is>
          <t>EHS</t>
        </is>
      </c>
      <c r="D251" s="48">
        <f>A251&amp;B251&amp;C251</f>
        <v/>
      </c>
      <c r="E251" s="228" t="n">
        <v>1</v>
      </c>
    </row>
    <row r="252">
      <c r="A252" s="48" t="inlineStr">
        <is>
          <t>BM401</t>
        </is>
      </c>
      <c r="B252" s="48" t="inlineStr">
        <is>
          <t>Conformance</t>
        </is>
      </c>
      <c r="C252" s="48" t="inlineStr">
        <is>
          <t>EHS</t>
        </is>
      </c>
      <c r="D252" s="48">
        <f>A252&amp;B252&amp;C252</f>
        <v/>
      </c>
      <c r="E252" s="228" t="n">
        <v>1</v>
      </c>
    </row>
    <row r="253">
      <c r="A253" s="48" t="inlineStr">
        <is>
          <t>BM401</t>
        </is>
      </c>
      <c r="B253" s="48" t="inlineStr">
        <is>
          <t>Priority</t>
        </is>
      </c>
      <c r="C253" s="48" t="inlineStr">
        <is>
          <t>EHS</t>
        </is>
      </c>
      <c r="D253" s="48">
        <f>A253&amp;B253&amp;C253</f>
        <v/>
      </c>
      <c r="E253" s="228" t="n">
        <v>0</v>
      </c>
    </row>
    <row r="254">
      <c r="A254" s="48" t="inlineStr">
        <is>
          <t>BM401</t>
        </is>
      </c>
      <c r="B254" s="48" t="inlineStr">
        <is>
          <t>Major</t>
        </is>
      </c>
      <c r="C254" s="48" t="inlineStr">
        <is>
          <t>EHS</t>
        </is>
      </c>
      <c r="D254" s="48">
        <f>A254&amp;B254&amp;C254</f>
        <v/>
      </c>
      <c r="E254" s="228" t="n">
        <v>0.2</v>
      </c>
    </row>
    <row r="255">
      <c r="A255" s="48" t="inlineStr">
        <is>
          <t>BM401</t>
        </is>
      </c>
      <c r="B255" s="48" t="inlineStr">
        <is>
          <t>Minor</t>
        </is>
      </c>
      <c r="C255" s="48" t="inlineStr">
        <is>
          <t>EHS</t>
        </is>
      </c>
      <c r="D255" s="48">
        <f>A255&amp;B255&amp;C255</f>
        <v/>
      </c>
      <c r="E255" s="228" t="n">
        <v>0.5</v>
      </c>
    </row>
    <row r="256">
      <c r="A256" s="48" t="inlineStr">
        <is>
          <t>BM401</t>
        </is>
      </c>
      <c r="B256" s="48" t="inlineStr">
        <is>
          <t>N/A</t>
        </is>
      </c>
      <c r="C256" s="48" t="inlineStr">
        <is>
          <t>EHS</t>
        </is>
      </c>
      <c r="D256" s="48">
        <f>A256&amp;B256&amp;C256</f>
        <v/>
      </c>
      <c r="E256" s="228" t="n">
        <v>1</v>
      </c>
    </row>
    <row r="257">
      <c r="A257" s="48" t="inlineStr">
        <is>
          <t>BM402</t>
        </is>
      </c>
      <c r="B257" s="48" t="inlineStr">
        <is>
          <t>Conformance</t>
        </is>
      </c>
      <c r="C257" s="48" t="inlineStr">
        <is>
          <t>EHS</t>
        </is>
      </c>
      <c r="D257" s="48">
        <f>A257&amp;B257&amp;C257</f>
        <v/>
      </c>
      <c r="E257" s="228" t="n">
        <v>1</v>
      </c>
    </row>
    <row r="258">
      <c r="A258" s="48" t="inlineStr">
        <is>
          <t>BM402</t>
        </is>
      </c>
      <c r="B258" s="48" t="inlineStr">
        <is>
          <t>Priority</t>
        </is>
      </c>
      <c r="C258" s="48" t="inlineStr">
        <is>
          <t>EHS</t>
        </is>
      </c>
      <c r="D258" s="48">
        <f>A258&amp;B258&amp;C258</f>
        <v/>
      </c>
      <c r="E258" s="228" t="n">
        <v>0</v>
      </c>
    </row>
    <row r="259">
      <c r="A259" s="48" t="inlineStr">
        <is>
          <t>BM402</t>
        </is>
      </c>
      <c r="B259" s="48" t="inlineStr">
        <is>
          <t>Major</t>
        </is>
      </c>
      <c r="C259" s="48" t="inlineStr">
        <is>
          <t>EHS</t>
        </is>
      </c>
      <c r="D259" s="48">
        <f>A259&amp;B259&amp;C259</f>
        <v/>
      </c>
      <c r="E259" s="228" t="n">
        <v>0.2</v>
      </c>
    </row>
    <row r="260">
      <c r="A260" s="48" t="inlineStr">
        <is>
          <t>BM402</t>
        </is>
      </c>
      <c r="B260" s="48" t="inlineStr">
        <is>
          <t>Minor</t>
        </is>
      </c>
      <c r="C260" s="48" t="inlineStr">
        <is>
          <t>EHS</t>
        </is>
      </c>
      <c r="D260" s="48">
        <f>A260&amp;B260&amp;C260</f>
        <v/>
      </c>
      <c r="E260" s="228" t="n">
        <v>0.5</v>
      </c>
    </row>
    <row r="261">
      <c r="A261" s="48" t="inlineStr">
        <is>
          <t>BM402</t>
        </is>
      </c>
      <c r="B261" s="48" t="inlineStr">
        <is>
          <t>N/A</t>
        </is>
      </c>
      <c r="C261" s="48" t="inlineStr">
        <is>
          <t>EHS</t>
        </is>
      </c>
      <c r="D261" s="48">
        <f>A261&amp;B261&amp;C261</f>
        <v/>
      </c>
      <c r="E261" s="228" t="n">
        <v>1</v>
      </c>
    </row>
    <row r="262">
      <c r="A262" s="48" t="inlineStr">
        <is>
          <t>BM403</t>
        </is>
      </c>
      <c r="B262" s="48" t="inlineStr">
        <is>
          <t>Conformance</t>
        </is>
      </c>
      <c r="C262" s="48" t="inlineStr">
        <is>
          <t>EHS</t>
        </is>
      </c>
      <c r="D262" s="48">
        <f>A262&amp;B262&amp;C262</f>
        <v/>
      </c>
      <c r="E262" s="228" t="n">
        <v>1</v>
      </c>
    </row>
    <row r="263">
      <c r="A263" s="48" t="inlineStr">
        <is>
          <t>BM403</t>
        </is>
      </c>
      <c r="B263" s="48" t="inlineStr">
        <is>
          <t>Priority</t>
        </is>
      </c>
      <c r="C263" s="48" t="inlineStr">
        <is>
          <t>EHS</t>
        </is>
      </c>
      <c r="D263" s="48">
        <f>A263&amp;B263&amp;C263</f>
        <v/>
      </c>
      <c r="E263" s="228" t="n">
        <v>0</v>
      </c>
    </row>
    <row r="264">
      <c r="A264" s="48" t="inlineStr">
        <is>
          <t>BM403</t>
        </is>
      </c>
      <c r="B264" s="48" t="inlineStr">
        <is>
          <t>Major</t>
        </is>
      </c>
      <c r="C264" s="48" t="inlineStr">
        <is>
          <t>EHS</t>
        </is>
      </c>
      <c r="D264" s="48">
        <f>A264&amp;B264&amp;C264</f>
        <v/>
      </c>
      <c r="E264" s="228" t="n">
        <v>0.2</v>
      </c>
    </row>
    <row r="265">
      <c r="A265" s="48" t="inlineStr">
        <is>
          <t>BM403</t>
        </is>
      </c>
      <c r="B265" s="48" t="inlineStr">
        <is>
          <t>Minor</t>
        </is>
      </c>
      <c r="C265" s="48" t="inlineStr">
        <is>
          <t>EHS</t>
        </is>
      </c>
      <c r="D265" s="48">
        <f>A265&amp;B265&amp;C265</f>
        <v/>
      </c>
      <c r="E265" s="228" t="n">
        <v>0.5</v>
      </c>
    </row>
    <row r="266">
      <c r="A266" s="48" t="inlineStr">
        <is>
          <t>BM403</t>
        </is>
      </c>
      <c r="B266" s="48" t="inlineStr">
        <is>
          <t>N/A</t>
        </is>
      </c>
      <c r="C266" s="48" t="inlineStr">
        <is>
          <t>EHS</t>
        </is>
      </c>
      <c r="D266" s="48">
        <f>A266&amp;B266&amp;C266</f>
        <v/>
      </c>
      <c r="E266" s="228" t="n">
        <v>1</v>
      </c>
    </row>
    <row r="267">
      <c r="A267" s="48" t="inlineStr">
        <is>
          <t>CE101</t>
        </is>
      </c>
      <c r="B267" s="48" t="inlineStr">
        <is>
          <t>Conformance</t>
        </is>
      </c>
      <c r="C267" s="48" t="inlineStr">
        <is>
          <t>EHS</t>
        </is>
      </c>
      <c r="D267" s="48">
        <f>A267&amp;B267&amp;C267</f>
        <v/>
      </c>
      <c r="E267" s="228" t="n">
        <v>6</v>
      </c>
    </row>
    <row r="268">
      <c r="A268" s="48" t="inlineStr">
        <is>
          <t>CE101</t>
        </is>
      </c>
      <c r="B268" s="48" t="inlineStr">
        <is>
          <t>Priority</t>
        </is>
      </c>
      <c r="C268" s="48" t="inlineStr">
        <is>
          <t>EHS</t>
        </is>
      </c>
      <c r="D268" s="48">
        <f>A268&amp;B268&amp;C268</f>
        <v/>
      </c>
      <c r="E268" s="228" t="n">
        <v>0</v>
      </c>
    </row>
    <row r="269">
      <c r="A269" s="48" t="inlineStr">
        <is>
          <t>CE101</t>
        </is>
      </c>
      <c r="B269" s="48" t="inlineStr">
        <is>
          <t>Major</t>
        </is>
      </c>
      <c r="C269" s="48" t="inlineStr">
        <is>
          <t>EHS</t>
        </is>
      </c>
      <c r="D269" s="48">
        <f>A269&amp;B269&amp;C269</f>
        <v/>
      </c>
      <c r="E269" s="228" t="n">
        <v>2</v>
      </c>
    </row>
    <row r="270">
      <c r="A270" s="48" t="inlineStr">
        <is>
          <t>CE101</t>
        </is>
      </c>
      <c r="B270" s="48" t="inlineStr">
        <is>
          <t>Minor</t>
        </is>
      </c>
      <c r="C270" s="48" t="inlineStr">
        <is>
          <t>EHS</t>
        </is>
      </c>
      <c r="D270" s="48">
        <f>A270&amp;B270&amp;C270</f>
        <v/>
      </c>
      <c r="E270" s="228" t="n">
        <v>4</v>
      </c>
    </row>
    <row r="271">
      <c r="A271" s="48" t="inlineStr">
        <is>
          <t>CE101</t>
        </is>
      </c>
      <c r="B271" s="48" t="inlineStr">
        <is>
          <t>N/A</t>
        </is>
      </c>
      <c r="C271" s="48" t="inlineStr">
        <is>
          <t>EHS</t>
        </is>
      </c>
      <c r="D271" s="48">
        <f>A271&amp;B271&amp;C271</f>
        <v/>
      </c>
      <c r="E271" s="228" t="n">
        <v>6</v>
      </c>
    </row>
    <row r="272">
      <c r="A272" s="48" t="inlineStr">
        <is>
          <t>CE201</t>
        </is>
      </c>
      <c r="B272" s="48" t="inlineStr">
        <is>
          <t>Conformance</t>
        </is>
      </c>
      <c r="C272" s="48" t="inlineStr">
        <is>
          <t>EHS</t>
        </is>
      </c>
      <c r="D272" s="48">
        <f>A272&amp;B272&amp;C272</f>
        <v/>
      </c>
      <c r="E272" s="228" t="n">
        <v>5</v>
      </c>
    </row>
    <row r="273">
      <c r="A273" s="48" t="inlineStr">
        <is>
          <t>CE201</t>
        </is>
      </c>
      <c r="B273" s="48" t="inlineStr">
        <is>
          <t>Priority</t>
        </is>
      </c>
      <c r="C273" s="48" t="inlineStr">
        <is>
          <t>EHS</t>
        </is>
      </c>
      <c r="D273" s="48">
        <f>A273&amp;B273&amp;C273</f>
        <v/>
      </c>
      <c r="E273" s="228" t="n">
        <v>0</v>
      </c>
    </row>
    <row r="274">
      <c r="A274" s="48" t="inlineStr">
        <is>
          <t>CE201</t>
        </is>
      </c>
      <c r="B274" s="48" t="inlineStr">
        <is>
          <t>Major</t>
        </is>
      </c>
      <c r="C274" s="48" t="inlineStr">
        <is>
          <t>EHS</t>
        </is>
      </c>
      <c r="D274" s="48">
        <f>A274&amp;B274&amp;C274</f>
        <v/>
      </c>
      <c r="E274" s="228" t="n">
        <v>1</v>
      </c>
    </row>
    <row r="275">
      <c r="A275" s="48" t="inlineStr">
        <is>
          <t>CE201</t>
        </is>
      </c>
      <c r="B275" s="48" t="inlineStr">
        <is>
          <t>Minor</t>
        </is>
      </c>
      <c r="C275" s="48" t="inlineStr">
        <is>
          <t>EHS</t>
        </is>
      </c>
      <c r="D275" s="48">
        <f>A275&amp;B275&amp;C275</f>
        <v/>
      </c>
      <c r="E275" s="228" t="n">
        <v>3</v>
      </c>
    </row>
    <row r="276">
      <c r="A276" s="48" t="inlineStr">
        <is>
          <t>CE201</t>
        </is>
      </c>
      <c r="B276" s="48" t="inlineStr">
        <is>
          <t>N/A</t>
        </is>
      </c>
      <c r="C276" s="48" t="inlineStr">
        <is>
          <t>EHS</t>
        </is>
      </c>
      <c r="D276" s="48">
        <f>A276&amp;B276&amp;C276</f>
        <v/>
      </c>
      <c r="E276" s="228" t="n">
        <v>5</v>
      </c>
    </row>
    <row r="277">
      <c r="A277" s="48" t="inlineStr">
        <is>
          <t>CE301</t>
        </is>
      </c>
      <c r="B277" s="48" t="inlineStr">
        <is>
          <t>Conformance</t>
        </is>
      </c>
      <c r="C277" s="48" t="inlineStr">
        <is>
          <t>EHS</t>
        </is>
      </c>
      <c r="D277" s="48">
        <f>A277&amp;B277&amp;C277</f>
        <v/>
      </c>
      <c r="E277" s="228" t="n">
        <v>3</v>
      </c>
    </row>
    <row r="278">
      <c r="A278" s="48" t="inlineStr">
        <is>
          <t>CE301</t>
        </is>
      </c>
      <c r="B278" s="48" t="inlineStr">
        <is>
          <t>Priority</t>
        </is>
      </c>
      <c r="C278" s="48" t="inlineStr">
        <is>
          <t>EHS</t>
        </is>
      </c>
      <c r="D278" s="48">
        <f>A278&amp;B278&amp;C278</f>
        <v/>
      </c>
      <c r="E278" s="228" t="n">
        <v>0</v>
      </c>
    </row>
    <row r="279">
      <c r="A279" s="48" t="inlineStr">
        <is>
          <t>CE301</t>
        </is>
      </c>
      <c r="B279" s="48" t="inlineStr">
        <is>
          <t>Major</t>
        </is>
      </c>
      <c r="C279" s="48" t="inlineStr">
        <is>
          <t>EHS</t>
        </is>
      </c>
      <c r="D279" s="48">
        <f>A279&amp;B279&amp;C279</f>
        <v/>
      </c>
      <c r="E279" s="228" t="n">
        <v>1</v>
      </c>
    </row>
    <row r="280">
      <c r="A280" s="48" t="inlineStr">
        <is>
          <t>CE301</t>
        </is>
      </c>
      <c r="B280" s="48" t="inlineStr">
        <is>
          <t>Minor</t>
        </is>
      </c>
      <c r="C280" s="48" t="inlineStr">
        <is>
          <t>EHS</t>
        </is>
      </c>
      <c r="D280" s="48">
        <f>A280&amp;B280&amp;C280</f>
        <v/>
      </c>
      <c r="E280" s="228" t="n">
        <v>2</v>
      </c>
    </row>
    <row r="281">
      <c r="A281" s="48" t="inlineStr">
        <is>
          <t>CE301</t>
        </is>
      </c>
      <c r="B281" s="48" t="inlineStr">
        <is>
          <t>N/A</t>
        </is>
      </c>
      <c r="C281" s="48" t="inlineStr">
        <is>
          <t>EHS</t>
        </is>
      </c>
      <c r="D281" s="48">
        <f>A281&amp;B281&amp;C281</f>
        <v/>
      </c>
      <c r="E281" s="228" t="n">
        <v>3</v>
      </c>
    </row>
    <row r="282">
      <c r="A282" s="48" t="inlineStr">
        <is>
          <t>CE401</t>
        </is>
      </c>
      <c r="B282" s="48" t="inlineStr">
        <is>
          <t>Conformance</t>
        </is>
      </c>
      <c r="C282" s="48" t="inlineStr">
        <is>
          <t>EHS</t>
        </is>
      </c>
      <c r="D282" s="48">
        <f>A282&amp;B282&amp;C282</f>
        <v/>
      </c>
      <c r="E282" s="228" t="n">
        <v>5</v>
      </c>
    </row>
    <row r="283">
      <c r="A283" s="48" t="inlineStr">
        <is>
          <t>CE401</t>
        </is>
      </c>
      <c r="B283" s="48" t="inlineStr">
        <is>
          <t>Priority</t>
        </is>
      </c>
      <c r="C283" s="48" t="inlineStr">
        <is>
          <t>EHS</t>
        </is>
      </c>
      <c r="D283" s="48">
        <f>A283&amp;B283&amp;C283</f>
        <v/>
      </c>
      <c r="E283" s="228" t="n">
        <v>0</v>
      </c>
    </row>
    <row r="284">
      <c r="A284" s="48" t="inlineStr">
        <is>
          <t>CE401</t>
        </is>
      </c>
      <c r="B284" s="48" t="inlineStr">
        <is>
          <t>Major</t>
        </is>
      </c>
      <c r="C284" s="48" t="inlineStr">
        <is>
          <t>EHS</t>
        </is>
      </c>
      <c r="D284" s="48">
        <f>A284&amp;B284&amp;C284</f>
        <v/>
      </c>
      <c r="E284" s="228" t="n">
        <v>1</v>
      </c>
    </row>
    <row r="285">
      <c r="A285" s="48" t="inlineStr">
        <is>
          <t>CE401</t>
        </is>
      </c>
      <c r="B285" s="48" t="inlineStr">
        <is>
          <t>Minor</t>
        </is>
      </c>
      <c r="C285" s="48" t="inlineStr">
        <is>
          <t>EHS</t>
        </is>
      </c>
      <c r="D285" s="48">
        <f>A285&amp;B285&amp;C285</f>
        <v/>
      </c>
      <c r="E285" s="228" t="n">
        <v>3</v>
      </c>
    </row>
    <row r="286">
      <c r="A286" s="48" t="inlineStr">
        <is>
          <t>CE401</t>
        </is>
      </c>
      <c r="B286" s="48" t="inlineStr">
        <is>
          <t>N/A</t>
        </is>
      </c>
      <c r="C286" s="48" t="inlineStr">
        <is>
          <t>EHS</t>
        </is>
      </c>
      <c r="D286" s="48">
        <f>A286&amp;B286&amp;C286</f>
        <v/>
      </c>
      <c r="E286" s="228" t="n">
        <v>5</v>
      </c>
    </row>
    <row r="287">
      <c r="A287" s="48" t="inlineStr">
        <is>
          <t>CE402</t>
        </is>
      </c>
      <c r="B287" s="48" t="inlineStr">
        <is>
          <t>Conformance</t>
        </is>
      </c>
      <c r="C287" s="48" t="inlineStr">
        <is>
          <t>EHS</t>
        </is>
      </c>
      <c r="D287" s="48">
        <f>A287&amp;B287&amp;C287</f>
        <v/>
      </c>
      <c r="E287" s="228" t="n">
        <v>1</v>
      </c>
    </row>
    <row r="288">
      <c r="A288" s="48" t="inlineStr">
        <is>
          <t>CE402</t>
        </is>
      </c>
      <c r="B288" s="48" t="inlineStr">
        <is>
          <t>Priority</t>
        </is>
      </c>
      <c r="C288" s="48" t="inlineStr">
        <is>
          <t>EHS</t>
        </is>
      </c>
      <c r="D288" s="48">
        <f>A288&amp;B288&amp;C288</f>
        <v/>
      </c>
      <c r="E288" s="228" t="n">
        <v>0</v>
      </c>
    </row>
    <row r="289">
      <c r="A289" s="48" t="inlineStr">
        <is>
          <t>CE402</t>
        </is>
      </c>
      <c r="B289" s="48" t="inlineStr">
        <is>
          <t>Major</t>
        </is>
      </c>
      <c r="C289" s="48" t="inlineStr">
        <is>
          <t>EHS</t>
        </is>
      </c>
      <c r="D289" s="48">
        <f>A289&amp;B289&amp;C289</f>
        <v/>
      </c>
      <c r="E289" s="228" t="n">
        <v>0.2</v>
      </c>
    </row>
    <row r="290">
      <c r="A290" s="48" t="inlineStr">
        <is>
          <t>CE402</t>
        </is>
      </c>
      <c r="B290" s="48" t="inlineStr">
        <is>
          <t>Minor</t>
        </is>
      </c>
      <c r="C290" s="48" t="inlineStr">
        <is>
          <t>EHS</t>
        </is>
      </c>
      <c r="D290" s="48">
        <f>A290&amp;B290&amp;C290</f>
        <v/>
      </c>
      <c r="E290" s="228" t="n">
        <v>0.5</v>
      </c>
    </row>
    <row r="291">
      <c r="A291" s="48" t="inlineStr">
        <is>
          <t>CE402</t>
        </is>
      </c>
      <c r="B291" s="48" t="inlineStr">
        <is>
          <t>N/A</t>
        </is>
      </c>
      <c r="C291" s="48" t="inlineStr">
        <is>
          <t>EHS</t>
        </is>
      </c>
      <c r="D291" s="48">
        <f>A291&amp;B291&amp;C291</f>
        <v/>
      </c>
      <c r="E291" s="228" t="n">
        <v>1</v>
      </c>
    </row>
    <row r="292">
      <c r="A292" s="48" t="inlineStr">
        <is>
          <t>CE501</t>
        </is>
      </c>
      <c r="B292" s="48" t="inlineStr">
        <is>
          <t>Conformance</t>
        </is>
      </c>
      <c r="C292" s="48" t="inlineStr">
        <is>
          <t>EHS</t>
        </is>
      </c>
      <c r="D292" s="48">
        <f>A292&amp;B292&amp;C292</f>
        <v/>
      </c>
      <c r="E292" s="228" t="n">
        <v>5</v>
      </c>
    </row>
    <row r="293">
      <c r="A293" s="48" t="inlineStr">
        <is>
          <t>CE501</t>
        </is>
      </c>
      <c r="B293" s="48" t="inlineStr">
        <is>
          <t>Priority</t>
        </is>
      </c>
      <c r="C293" s="48" t="inlineStr">
        <is>
          <t>EHS</t>
        </is>
      </c>
      <c r="D293" s="48">
        <f>A293&amp;B293&amp;C293</f>
        <v/>
      </c>
      <c r="E293" s="228" t="n">
        <v>0</v>
      </c>
    </row>
    <row r="294">
      <c r="A294" s="48" t="inlineStr">
        <is>
          <t>CE501</t>
        </is>
      </c>
      <c r="B294" s="48" t="inlineStr">
        <is>
          <t>Major</t>
        </is>
      </c>
      <c r="C294" s="48" t="inlineStr">
        <is>
          <t>EHS</t>
        </is>
      </c>
      <c r="D294" s="48">
        <f>A294&amp;B294&amp;C294</f>
        <v/>
      </c>
      <c r="E294" s="228" t="n">
        <v>1</v>
      </c>
    </row>
    <row r="295">
      <c r="A295" s="48" t="inlineStr">
        <is>
          <t>CE501</t>
        </is>
      </c>
      <c r="B295" s="48" t="inlineStr">
        <is>
          <t>Minor</t>
        </is>
      </c>
      <c r="C295" s="48" t="inlineStr">
        <is>
          <t>EHS</t>
        </is>
      </c>
      <c r="D295" s="48">
        <f>A295&amp;B295&amp;C295</f>
        <v/>
      </c>
      <c r="E295" s="228" t="n">
        <v>3</v>
      </c>
    </row>
    <row r="296">
      <c r="A296" s="48" t="inlineStr">
        <is>
          <t>CE501</t>
        </is>
      </c>
      <c r="B296" s="48" t="inlineStr">
        <is>
          <t>N/A</t>
        </is>
      </c>
      <c r="C296" s="48" t="inlineStr">
        <is>
          <t>EHS</t>
        </is>
      </c>
      <c r="D296" s="48">
        <f>A296&amp;B296&amp;C296</f>
        <v/>
      </c>
      <c r="E296" s="228" t="n">
        <v>5</v>
      </c>
    </row>
    <row r="297">
      <c r="A297" s="48" t="inlineStr">
        <is>
          <t>CE601</t>
        </is>
      </c>
      <c r="B297" s="48" t="inlineStr">
        <is>
          <t>Conformance</t>
        </is>
      </c>
      <c r="C297" s="48" t="inlineStr">
        <is>
          <t>EHS</t>
        </is>
      </c>
      <c r="D297" s="48">
        <f>A297&amp;B297&amp;C297</f>
        <v/>
      </c>
      <c r="E297" s="228" t="n">
        <v>3</v>
      </c>
    </row>
    <row r="298">
      <c r="A298" s="48" t="inlineStr">
        <is>
          <t>CE601</t>
        </is>
      </c>
      <c r="B298" s="48" t="inlineStr">
        <is>
          <t>Priority</t>
        </is>
      </c>
      <c r="C298" s="48" t="inlineStr">
        <is>
          <t>EHS</t>
        </is>
      </c>
      <c r="D298" s="48">
        <f>A298&amp;B298&amp;C298</f>
        <v/>
      </c>
      <c r="E298" s="228" t="n">
        <v>0</v>
      </c>
    </row>
    <row r="299">
      <c r="A299" s="48" t="inlineStr">
        <is>
          <t>CE601</t>
        </is>
      </c>
      <c r="B299" s="48" t="inlineStr">
        <is>
          <t>Major</t>
        </is>
      </c>
      <c r="C299" s="48" t="inlineStr">
        <is>
          <t>EHS</t>
        </is>
      </c>
      <c r="D299" s="48">
        <f>A299&amp;B299&amp;C299</f>
        <v/>
      </c>
      <c r="E299" s="228" t="n">
        <v>1</v>
      </c>
    </row>
    <row r="300">
      <c r="A300" s="48" t="inlineStr">
        <is>
          <t>CE601</t>
        </is>
      </c>
      <c r="B300" s="48" t="inlineStr">
        <is>
          <t>Minor</t>
        </is>
      </c>
      <c r="C300" s="48" t="inlineStr">
        <is>
          <t>EHS</t>
        </is>
      </c>
      <c r="D300" s="48">
        <f>A300&amp;B300&amp;C300</f>
        <v/>
      </c>
      <c r="E300" s="228" t="n">
        <v>2</v>
      </c>
    </row>
    <row r="301">
      <c r="A301" s="48" t="inlineStr">
        <is>
          <t>CE601</t>
        </is>
      </c>
      <c r="B301" s="48" t="inlineStr">
        <is>
          <t>N/A</t>
        </is>
      </c>
      <c r="C301" s="48" t="inlineStr">
        <is>
          <t>EHS</t>
        </is>
      </c>
      <c r="D301" s="48">
        <f>A301&amp;B301&amp;C301</f>
        <v/>
      </c>
      <c r="E301" s="228" t="n">
        <v>3</v>
      </c>
    </row>
    <row r="302">
      <c r="A302" s="48" t="inlineStr">
        <is>
          <t>CM101</t>
        </is>
      </c>
      <c r="B302" s="48" t="inlineStr">
        <is>
          <t>Conformance</t>
        </is>
      </c>
      <c r="C302" s="48" t="inlineStr">
        <is>
          <t>EHS</t>
        </is>
      </c>
      <c r="D302" s="48">
        <f>A302&amp;B302&amp;C302</f>
        <v/>
      </c>
      <c r="E302" s="228" t="n">
        <v>1</v>
      </c>
    </row>
    <row r="303">
      <c r="A303" s="48" t="inlineStr">
        <is>
          <t>CM101</t>
        </is>
      </c>
      <c r="B303" s="48" t="inlineStr">
        <is>
          <t>Priority</t>
        </is>
      </c>
      <c r="C303" s="48" t="inlineStr">
        <is>
          <t>EHS</t>
        </is>
      </c>
      <c r="D303" s="48">
        <f>A303&amp;B303&amp;C303</f>
        <v/>
      </c>
      <c r="E303" s="228" t="n">
        <v>0</v>
      </c>
    </row>
    <row r="304">
      <c r="A304" s="48" t="inlineStr">
        <is>
          <t>CM101</t>
        </is>
      </c>
      <c r="B304" s="48" t="inlineStr">
        <is>
          <t>Major</t>
        </is>
      </c>
      <c r="C304" s="48" t="inlineStr">
        <is>
          <t>EHS</t>
        </is>
      </c>
      <c r="D304" s="48">
        <f>A304&amp;B304&amp;C304</f>
        <v/>
      </c>
      <c r="E304" s="228" t="n">
        <v>0.2</v>
      </c>
    </row>
    <row r="305">
      <c r="A305" s="48" t="inlineStr">
        <is>
          <t>CM101</t>
        </is>
      </c>
      <c r="B305" s="48" t="inlineStr">
        <is>
          <t>Minor</t>
        </is>
      </c>
      <c r="C305" s="48" t="inlineStr">
        <is>
          <t>EHS</t>
        </is>
      </c>
      <c r="D305" s="48">
        <f>A305&amp;B305&amp;C305</f>
        <v/>
      </c>
      <c r="E305" s="228" t="n">
        <v>0.5</v>
      </c>
    </row>
    <row r="306">
      <c r="A306" s="48" t="inlineStr">
        <is>
          <t>CM101</t>
        </is>
      </c>
      <c r="B306" s="48" t="inlineStr">
        <is>
          <t>N/A</t>
        </is>
      </c>
      <c r="C306" s="48" t="inlineStr">
        <is>
          <t>EHS</t>
        </is>
      </c>
      <c r="D306" s="48">
        <f>A306&amp;B306&amp;C306</f>
        <v/>
      </c>
      <c r="E306" s="228" t="n">
        <v>1</v>
      </c>
    </row>
    <row r="307">
      <c r="A307" s="48" t="inlineStr">
        <is>
          <t>CM102</t>
        </is>
      </c>
      <c r="B307" s="48" t="inlineStr">
        <is>
          <t>Conformance</t>
        </is>
      </c>
      <c r="C307" s="48" t="inlineStr">
        <is>
          <t>EHS</t>
        </is>
      </c>
      <c r="D307" s="48">
        <f>A307&amp;B307&amp;C307</f>
        <v/>
      </c>
      <c r="E307" s="228" t="n">
        <v>2</v>
      </c>
    </row>
    <row r="308">
      <c r="A308" s="48" t="inlineStr">
        <is>
          <t>CM102</t>
        </is>
      </c>
      <c r="B308" s="48" t="inlineStr">
        <is>
          <t>Priority</t>
        </is>
      </c>
      <c r="C308" s="48" t="inlineStr">
        <is>
          <t>EHS</t>
        </is>
      </c>
      <c r="D308" s="48">
        <f>A308&amp;B308&amp;C308</f>
        <v/>
      </c>
      <c r="E308" s="228" t="n">
        <v>0</v>
      </c>
    </row>
    <row r="309">
      <c r="A309" s="48" t="inlineStr">
        <is>
          <t>CM102</t>
        </is>
      </c>
      <c r="B309" s="48" t="inlineStr">
        <is>
          <t>Major</t>
        </is>
      </c>
      <c r="C309" s="48" t="inlineStr">
        <is>
          <t>EHS</t>
        </is>
      </c>
      <c r="D309" s="48">
        <f>A309&amp;B309&amp;C309</f>
        <v/>
      </c>
      <c r="E309" s="228" t="n">
        <v>0.5</v>
      </c>
    </row>
    <row r="310">
      <c r="A310" s="48" t="inlineStr">
        <is>
          <t>CM102</t>
        </is>
      </c>
      <c r="B310" s="48" t="inlineStr">
        <is>
          <t>Minor</t>
        </is>
      </c>
      <c r="C310" s="48" t="inlineStr">
        <is>
          <t>EHS</t>
        </is>
      </c>
      <c r="D310" s="48">
        <f>A310&amp;B310&amp;C310</f>
        <v/>
      </c>
      <c r="E310" s="228" t="n">
        <v>1</v>
      </c>
    </row>
    <row r="311">
      <c r="A311" s="48" t="inlineStr">
        <is>
          <t>CM102</t>
        </is>
      </c>
      <c r="B311" s="48" t="inlineStr">
        <is>
          <t>N/A</t>
        </is>
      </c>
      <c r="C311" s="48" t="inlineStr">
        <is>
          <t>EHS</t>
        </is>
      </c>
      <c r="D311" s="48">
        <f>A311&amp;B311&amp;C311</f>
        <v/>
      </c>
      <c r="E311" s="228" t="n">
        <v>2</v>
      </c>
    </row>
    <row r="312">
      <c r="A312" s="48" t="inlineStr">
        <is>
          <t>CM201</t>
        </is>
      </c>
      <c r="B312" s="48" t="inlineStr">
        <is>
          <t>Conformance</t>
        </is>
      </c>
      <c r="C312" s="48" t="inlineStr">
        <is>
          <t>EHS</t>
        </is>
      </c>
      <c r="D312" s="48">
        <f>A312&amp;B312&amp;C312</f>
        <v/>
      </c>
      <c r="E312" s="228" t="n">
        <v>1</v>
      </c>
    </row>
    <row r="313">
      <c r="A313" s="48" t="inlineStr">
        <is>
          <t>CM201</t>
        </is>
      </c>
      <c r="B313" s="48" t="inlineStr">
        <is>
          <t>Priority</t>
        </is>
      </c>
      <c r="C313" s="48" t="inlineStr">
        <is>
          <t>EHS</t>
        </is>
      </c>
      <c r="D313" s="48">
        <f>A313&amp;B313&amp;C313</f>
        <v/>
      </c>
      <c r="E313" s="228" t="n">
        <v>0</v>
      </c>
    </row>
    <row r="314">
      <c r="A314" s="48" t="inlineStr">
        <is>
          <t>CM201</t>
        </is>
      </c>
      <c r="B314" s="48" t="inlineStr">
        <is>
          <t>Major</t>
        </is>
      </c>
      <c r="C314" s="48" t="inlineStr">
        <is>
          <t>EHS</t>
        </is>
      </c>
      <c r="D314" s="48">
        <f>A314&amp;B314&amp;C314</f>
        <v/>
      </c>
      <c r="E314" s="228" t="n">
        <v>0.2</v>
      </c>
    </row>
    <row r="315">
      <c r="A315" s="48" t="inlineStr">
        <is>
          <t>CM201</t>
        </is>
      </c>
      <c r="B315" s="48" t="inlineStr">
        <is>
          <t>Minor</t>
        </is>
      </c>
      <c r="C315" s="48" t="inlineStr">
        <is>
          <t>EHS</t>
        </is>
      </c>
      <c r="D315" s="48">
        <f>A315&amp;B315&amp;C315</f>
        <v/>
      </c>
      <c r="E315" s="228" t="n">
        <v>0.5</v>
      </c>
    </row>
    <row r="316">
      <c r="A316" s="48" t="inlineStr">
        <is>
          <t>CM201</t>
        </is>
      </c>
      <c r="B316" s="48" t="inlineStr">
        <is>
          <t>N/A</t>
        </is>
      </c>
      <c r="C316" s="48" t="inlineStr">
        <is>
          <t>EHS</t>
        </is>
      </c>
      <c r="D316" s="48">
        <f>A316&amp;B316&amp;C316</f>
        <v/>
      </c>
      <c r="E316" s="228" t="n">
        <v>1</v>
      </c>
    </row>
    <row r="317">
      <c r="A317" s="48" t="inlineStr">
        <is>
          <t>CM202</t>
        </is>
      </c>
      <c r="B317" s="48" t="inlineStr">
        <is>
          <t>Conformance</t>
        </is>
      </c>
      <c r="C317" s="48" t="inlineStr">
        <is>
          <t>EHS</t>
        </is>
      </c>
      <c r="D317" s="48">
        <f>A317&amp;B317&amp;C317</f>
        <v/>
      </c>
      <c r="E317" s="228" t="n">
        <v>1</v>
      </c>
    </row>
    <row r="318">
      <c r="A318" s="48" t="inlineStr">
        <is>
          <t>CM202</t>
        </is>
      </c>
      <c r="B318" s="48" t="inlineStr">
        <is>
          <t>Priority</t>
        </is>
      </c>
      <c r="C318" s="48" t="inlineStr">
        <is>
          <t>EHS</t>
        </is>
      </c>
      <c r="D318" s="48">
        <f>A318&amp;B318&amp;C318</f>
        <v/>
      </c>
      <c r="E318" s="228" t="n">
        <v>0</v>
      </c>
    </row>
    <row r="319">
      <c r="A319" s="48" t="inlineStr">
        <is>
          <t>CM202</t>
        </is>
      </c>
      <c r="B319" s="48" t="inlineStr">
        <is>
          <t>Major</t>
        </is>
      </c>
      <c r="C319" s="48" t="inlineStr">
        <is>
          <t>EHS</t>
        </is>
      </c>
      <c r="D319" s="48">
        <f>A319&amp;B319&amp;C319</f>
        <v/>
      </c>
      <c r="E319" s="228" t="n">
        <v>0.2</v>
      </c>
    </row>
    <row r="320">
      <c r="A320" s="48" t="inlineStr">
        <is>
          <t>CM202</t>
        </is>
      </c>
      <c r="B320" s="48" t="inlineStr">
        <is>
          <t>Minor</t>
        </is>
      </c>
      <c r="C320" s="48" t="inlineStr">
        <is>
          <t>EHS</t>
        </is>
      </c>
      <c r="D320" s="48">
        <f>A320&amp;B320&amp;C320</f>
        <v/>
      </c>
      <c r="E320" s="228" t="n">
        <v>0.5</v>
      </c>
    </row>
    <row r="321">
      <c r="A321" s="48" t="inlineStr">
        <is>
          <t>CM202</t>
        </is>
      </c>
      <c r="B321" s="48" t="inlineStr">
        <is>
          <t>N/A</t>
        </is>
      </c>
      <c r="C321" s="48" t="inlineStr">
        <is>
          <t>EHS</t>
        </is>
      </c>
      <c r="D321" s="48">
        <f>A321&amp;B321&amp;C321</f>
        <v/>
      </c>
      <c r="E321" s="228" t="n">
        <v>1</v>
      </c>
    </row>
    <row r="322">
      <c r="A322" s="48" t="inlineStr">
        <is>
          <t>CM203</t>
        </is>
      </c>
      <c r="B322" s="48" t="inlineStr">
        <is>
          <t>Conformance</t>
        </is>
      </c>
      <c r="C322" s="48" t="inlineStr">
        <is>
          <t>EHS</t>
        </is>
      </c>
      <c r="D322" s="48">
        <f>A322&amp;B322&amp;C322</f>
        <v/>
      </c>
      <c r="E322" s="228" t="n">
        <v>2</v>
      </c>
    </row>
    <row r="323">
      <c r="A323" s="48" t="inlineStr">
        <is>
          <t>CM203</t>
        </is>
      </c>
      <c r="B323" s="48" t="inlineStr">
        <is>
          <t>Priority</t>
        </is>
      </c>
      <c r="C323" s="48" t="inlineStr">
        <is>
          <t>EHS</t>
        </is>
      </c>
      <c r="D323" s="48">
        <f>A323&amp;B323&amp;C323</f>
        <v/>
      </c>
      <c r="E323" s="228" t="n">
        <v>0</v>
      </c>
    </row>
    <row r="324">
      <c r="A324" s="48" t="inlineStr">
        <is>
          <t>CM203</t>
        </is>
      </c>
      <c r="B324" s="48" t="inlineStr">
        <is>
          <t>Major</t>
        </is>
      </c>
      <c r="C324" s="48" t="inlineStr">
        <is>
          <t>EHS</t>
        </is>
      </c>
      <c r="D324" s="48">
        <f>A324&amp;B324&amp;C324</f>
        <v/>
      </c>
      <c r="E324" s="228" t="n">
        <v>0.5</v>
      </c>
    </row>
    <row r="325">
      <c r="A325" s="48" t="inlineStr">
        <is>
          <t>CM203</t>
        </is>
      </c>
      <c r="B325" s="48" t="inlineStr">
        <is>
          <t>Minor</t>
        </is>
      </c>
      <c r="C325" s="48" t="inlineStr">
        <is>
          <t>EHS</t>
        </is>
      </c>
      <c r="D325" s="48">
        <f>A325&amp;B325&amp;C325</f>
        <v/>
      </c>
      <c r="E325" s="228" t="n">
        <v>1</v>
      </c>
    </row>
    <row r="326">
      <c r="A326" s="48" t="inlineStr">
        <is>
          <t>CM203</t>
        </is>
      </c>
      <c r="B326" s="48" t="inlineStr">
        <is>
          <t>N/A</t>
        </is>
      </c>
      <c r="C326" s="48" t="inlineStr">
        <is>
          <t>EHS</t>
        </is>
      </c>
      <c r="D326" s="48">
        <f>A326&amp;B326&amp;C326</f>
        <v/>
      </c>
      <c r="E326" s="228" t="n">
        <v>2</v>
      </c>
    </row>
    <row r="327">
      <c r="A327" s="48" t="inlineStr">
        <is>
          <t>CM301</t>
        </is>
      </c>
      <c r="B327" s="48" t="inlineStr">
        <is>
          <t>Conformance</t>
        </is>
      </c>
      <c r="C327" s="48" t="inlineStr">
        <is>
          <t>EHS</t>
        </is>
      </c>
      <c r="D327" s="48">
        <f>A327&amp;B327&amp;C327</f>
        <v/>
      </c>
      <c r="E327" s="228" t="n">
        <v>1</v>
      </c>
    </row>
    <row r="328">
      <c r="A328" s="48" t="inlineStr">
        <is>
          <t>CM301</t>
        </is>
      </c>
      <c r="B328" s="48" t="inlineStr">
        <is>
          <t>Priority</t>
        </is>
      </c>
      <c r="C328" s="48" t="inlineStr">
        <is>
          <t>EHS</t>
        </is>
      </c>
      <c r="D328" s="48">
        <f>A328&amp;B328&amp;C328</f>
        <v/>
      </c>
      <c r="E328" s="228" t="n">
        <v>0</v>
      </c>
    </row>
    <row r="329">
      <c r="A329" s="48" t="inlineStr">
        <is>
          <t>CM301</t>
        </is>
      </c>
      <c r="B329" s="48" t="inlineStr">
        <is>
          <t>Major</t>
        </is>
      </c>
      <c r="C329" s="48" t="inlineStr">
        <is>
          <t>EHS</t>
        </is>
      </c>
      <c r="D329" s="48">
        <f>A329&amp;B329&amp;C329</f>
        <v/>
      </c>
      <c r="E329" s="228" t="n">
        <v>0.2</v>
      </c>
    </row>
    <row r="330">
      <c r="A330" s="48" t="inlineStr">
        <is>
          <t>CM301</t>
        </is>
      </c>
      <c r="B330" s="48" t="inlineStr">
        <is>
          <t>Minor</t>
        </is>
      </c>
      <c r="C330" s="48" t="inlineStr">
        <is>
          <t>EHS</t>
        </is>
      </c>
      <c r="D330" s="48">
        <f>A330&amp;B330&amp;C330</f>
        <v/>
      </c>
      <c r="E330" s="228" t="n">
        <v>0.5</v>
      </c>
    </row>
    <row r="331">
      <c r="A331" s="48" t="inlineStr">
        <is>
          <t>CM301</t>
        </is>
      </c>
      <c r="B331" s="48" t="inlineStr">
        <is>
          <t>N/A</t>
        </is>
      </c>
      <c r="C331" s="48" t="inlineStr">
        <is>
          <t>EHS</t>
        </is>
      </c>
      <c r="D331" s="48">
        <f>A331&amp;B331&amp;C331</f>
        <v/>
      </c>
      <c r="E331" s="228" t="n">
        <v>1</v>
      </c>
    </row>
    <row r="332">
      <c r="A332" s="48" t="inlineStr">
        <is>
          <t>CM302</t>
        </is>
      </c>
      <c r="B332" s="48" t="inlineStr">
        <is>
          <t>Conformance</t>
        </is>
      </c>
      <c r="C332" s="48" t="inlineStr">
        <is>
          <t>EHS</t>
        </is>
      </c>
      <c r="D332" s="48">
        <f>A332&amp;B332&amp;C332</f>
        <v/>
      </c>
      <c r="E332" s="228" t="n">
        <v>1</v>
      </c>
    </row>
    <row r="333">
      <c r="A333" s="48" t="inlineStr">
        <is>
          <t>CM302</t>
        </is>
      </c>
      <c r="B333" s="48" t="inlineStr">
        <is>
          <t>Priority</t>
        </is>
      </c>
      <c r="C333" s="48" t="inlineStr">
        <is>
          <t>EHS</t>
        </is>
      </c>
      <c r="D333" s="48">
        <f>A333&amp;B333&amp;C333</f>
        <v/>
      </c>
      <c r="E333" s="228" t="n">
        <v>0</v>
      </c>
    </row>
    <row r="334">
      <c r="A334" s="48" t="inlineStr">
        <is>
          <t>CM302</t>
        </is>
      </c>
      <c r="B334" s="48" t="inlineStr">
        <is>
          <t>Major</t>
        </is>
      </c>
      <c r="C334" s="48" t="inlineStr">
        <is>
          <t>EHS</t>
        </is>
      </c>
      <c r="D334" s="48">
        <f>A334&amp;B334&amp;C334</f>
        <v/>
      </c>
      <c r="E334" s="228" t="n">
        <v>0.2</v>
      </c>
    </row>
    <row r="335">
      <c r="A335" s="48" t="inlineStr">
        <is>
          <t>CM302</t>
        </is>
      </c>
      <c r="B335" s="48" t="inlineStr">
        <is>
          <t>Minor</t>
        </is>
      </c>
      <c r="C335" s="48" t="inlineStr">
        <is>
          <t>EHS</t>
        </is>
      </c>
      <c r="D335" s="48">
        <f>A335&amp;B335&amp;C335</f>
        <v/>
      </c>
      <c r="E335" s="228" t="n">
        <v>0.5</v>
      </c>
    </row>
    <row r="336">
      <c r="A336" s="48" t="inlineStr">
        <is>
          <t>CM302</t>
        </is>
      </c>
      <c r="B336" s="48" t="inlineStr">
        <is>
          <t>N/A</t>
        </is>
      </c>
      <c r="C336" s="48" t="inlineStr">
        <is>
          <t>EHS</t>
        </is>
      </c>
      <c r="D336" s="48">
        <f>A336&amp;B336&amp;C336</f>
        <v/>
      </c>
      <c r="E336" s="228" t="n">
        <v>1</v>
      </c>
    </row>
    <row r="337">
      <c r="A337" s="48" t="inlineStr">
        <is>
          <t>CM401</t>
        </is>
      </c>
      <c r="B337" s="48" t="inlineStr">
        <is>
          <t>Conformance</t>
        </is>
      </c>
      <c r="C337" s="48" t="inlineStr">
        <is>
          <t>EHS</t>
        </is>
      </c>
      <c r="D337" s="48">
        <f>A337&amp;B337&amp;C337</f>
        <v/>
      </c>
      <c r="E337" s="228" t="n">
        <v>1</v>
      </c>
    </row>
    <row r="338">
      <c r="A338" s="48" t="inlineStr">
        <is>
          <t>CM401</t>
        </is>
      </c>
      <c r="B338" s="48" t="inlineStr">
        <is>
          <t>Priority</t>
        </is>
      </c>
      <c r="C338" s="48" t="inlineStr">
        <is>
          <t>EHS</t>
        </is>
      </c>
      <c r="D338" s="48">
        <f>A338&amp;B338&amp;C338</f>
        <v/>
      </c>
      <c r="E338" s="228" t="n">
        <v>0</v>
      </c>
    </row>
    <row r="339">
      <c r="A339" s="48" t="inlineStr">
        <is>
          <t>CM401</t>
        </is>
      </c>
      <c r="B339" s="48" t="inlineStr">
        <is>
          <t>Major</t>
        </is>
      </c>
      <c r="C339" s="48" t="inlineStr">
        <is>
          <t>EHS</t>
        </is>
      </c>
      <c r="D339" s="48">
        <f>A339&amp;B339&amp;C339</f>
        <v/>
      </c>
      <c r="E339" s="228" t="n">
        <v>0.2</v>
      </c>
    </row>
    <row r="340">
      <c r="A340" s="48" t="inlineStr">
        <is>
          <t>CM401</t>
        </is>
      </c>
      <c r="B340" s="48" t="inlineStr">
        <is>
          <t>Minor</t>
        </is>
      </c>
      <c r="C340" s="48" t="inlineStr">
        <is>
          <t>EHS</t>
        </is>
      </c>
      <c r="D340" s="48">
        <f>A340&amp;B340&amp;C340</f>
        <v/>
      </c>
      <c r="E340" s="228" t="n">
        <v>0.5</v>
      </c>
    </row>
    <row r="341">
      <c r="A341" s="48" t="inlineStr">
        <is>
          <t>CM401</t>
        </is>
      </c>
      <c r="B341" s="48" t="inlineStr">
        <is>
          <t>N/A</t>
        </is>
      </c>
      <c r="C341" s="48" t="inlineStr">
        <is>
          <t>EHS</t>
        </is>
      </c>
      <c r="D341" s="48">
        <f>A341&amp;B341&amp;C341</f>
        <v/>
      </c>
      <c r="E341" s="228" t="n">
        <v>1</v>
      </c>
    </row>
    <row r="342">
      <c r="A342" s="48" t="inlineStr">
        <is>
          <t>CM402</t>
        </is>
      </c>
      <c r="B342" s="48" t="inlineStr">
        <is>
          <t>Conformance</t>
        </is>
      </c>
      <c r="C342" s="48" t="inlineStr">
        <is>
          <t>EHS</t>
        </is>
      </c>
      <c r="D342" s="48">
        <f>A342&amp;B342&amp;C342</f>
        <v/>
      </c>
      <c r="E342" s="228" t="n">
        <v>1</v>
      </c>
    </row>
    <row r="343">
      <c r="A343" s="48" t="inlineStr">
        <is>
          <t>CM402</t>
        </is>
      </c>
      <c r="B343" s="48" t="inlineStr">
        <is>
          <t>Priority</t>
        </is>
      </c>
      <c r="C343" s="48" t="inlineStr">
        <is>
          <t>EHS</t>
        </is>
      </c>
      <c r="D343" s="48">
        <f>A343&amp;B343&amp;C343</f>
        <v/>
      </c>
      <c r="E343" s="228" t="n">
        <v>0</v>
      </c>
    </row>
    <row r="344">
      <c r="A344" s="48" t="inlineStr">
        <is>
          <t>CM402</t>
        </is>
      </c>
      <c r="B344" s="48" t="inlineStr">
        <is>
          <t>Major</t>
        </is>
      </c>
      <c r="C344" s="48" t="inlineStr">
        <is>
          <t>EHS</t>
        </is>
      </c>
      <c r="D344" s="48">
        <f>A344&amp;B344&amp;C344</f>
        <v/>
      </c>
      <c r="E344" s="228" t="n">
        <v>0.2</v>
      </c>
    </row>
    <row r="345">
      <c r="A345" s="48" t="inlineStr">
        <is>
          <t>CM402</t>
        </is>
      </c>
      <c r="B345" s="48" t="inlineStr">
        <is>
          <t>Minor</t>
        </is>
      </c>
      <c r="C345" s="48" t="inlineStr">
        <is>
          <t>EHS</t>
        </is>
      </c>
      <c r="D345" s="48">
        <f>A345&amp;B345&amp;C345</f>
        <v/>
      </c>
      <c r="E345" s="228" t="n">
        <v>0.5</v>
      </c>
    </row>
    <row r="346">
      <c r="A346" s="48" t="inlineStr">
        <is>
          <t>CM402</t>
        </is>
      </c>
      <c r="B346" s="48" t="inlineStr">
        <is>
          <t>N/A</t>
        </is>
      </c>
      <c r="C346" s="48" t="inlineStr">
        <is>
          <t>EHS</t>
        </is>
      </c>
      <c r="D346" s="48">
        <f>A346&amp;B346&amp;C346</f>
        <v/>
      </c>
      <c r="E346" s="228" t="n">
        <v>1</v>
      </c>
    </row>
    <row r="347">
      <c r="A347" s="48" t="inlineStr">
        <is>
          <t>CM403</t>
        </is>
      </c>
      <c r="B347" s="48" t="inlineStr">
        <is>
          <t>Conformance</t>
        </is>
      </c>
      <c r="C347" s="48" t="inlineStr">
        <is>
          <t>EHS</t>
        </is>
      </c>
      <c r="D347" s="48">
        <f>A347&amp;B347&amp;C347</f>
        <v/>
      </c>
      <c r="E347" s="228" t="n">
        <v>1</v>
      </c>
    </row>
    <row r="348">
      <c r="A348" s="48" t="inlineStr">
        <is>
          <t>CM403</t>
        </is>
      </c>
      <c r="B348" s="48" t="inlineStr">
        <is>
          <t>Priority</t>
        </is>
      </c>
      <c r="C348" s="48" t="inlineStr">
        <is>
          <t>EHS</t>
        </is>
      </c>
      <c r="D348" s="48">
        <f>A348&amp;B348&amp;C348</f>
        <v/>
      </c>
      <c r="E348" s="228" t="n">
        <v>0</v>
      </c>
    </row>
    <row r="349">
      <c r="A349" s="48" t="inlineStr">
        <is>
          <t>CM403</t>
        </is>
      </c>
      <c r="B349" s="48" t="inlineStr">
        <is>
          <t>Major</t>
        </is>
      </c>
      <c r="C349" s="48" t="inlineStr">
        <is>
          <t>EHS</t>
        </is>
      </c>
      <c r="D349" s="48">
        <f>A349&amp;B349&amp;C349</f>
        <v/>
      </c>
      <c r="E349" s="228" t="n">
        <v>0.2</v>
      </c>
    </row>
    <row r="350">
      <c r="A350" s="48" t="inlineStr">
        <is>
          <t>CM403</t>
        </is>
      </c>
      <c r="B350" s="48" t="inlineStr">
        <is>
          <t>Minor</t>
        </is>
      </c>
      <c r="C350" s="48" t="inlineStr">
        <is>
          <t>EHS</t>
        </is>
      </c>
      <c r="D350" s="48">
        <f>A350&amp;B350&amp;C350</f>
        <v/>
      </c>
      <c r="E350" s="228" t="n">
        <v>0.5</v>
      </c>
    </row>
    <row r="351">
      <c r="A351" s="48" t="inlineStr">
        <is>
          <t>CM403</t>
        </is>
      </c>
      <c r="B351" s="48" t="inlineStr">
        <is>
          <t>N/A</t>
        </is>
      </c>
      <c r="C351" s="48" t="inlineStr">
        <is>
          <t>EHS</t>
        </is>
      </c>
      <c r="D351" s="48">
        <f>A351&amp;B351&amp;C351</f>
        <v/>
      </c>
      <c r="E351" s="228" t="n">
        <v>1</v>
      </c>
    </row>
    <row r="352">
      <c r="A352" s="61" t="inlineStr">
        <is>
          <t>DE101</t>
        </is>
      </c>
      <c r="B352" s="61" t="inlineStr">
        <is>
          <t>Conformance</t>
        </is>
      </c>
      <c r="C352" s="61" t="inlineStr">
        <is>
          <t>Labor</t>
        </is>
      </c>
      <c r="D352" s="61">
        <f>A352&amp;B352&amp;C352</f>
        <v/>
      </c>
      <c r="E352" s="227" t="n">
        <v>2</v>
      </c>
    </row>
    <row r="353">
      <c r="A353" s="61" t="inlineStr">
        <is>
          <t>DE101</t>
        </is>
      </c>
      <c r="B353" s="61" t="inlineStr">
        <is>
          <t>Priority</t>
        </is>
      </c>
      <c r="C353" s="61" t="inlineStr">
        <is>
          <t>Labor</t>
        </is>
      </c>
      <c r="D353" s="61">
        <f>A353&amp;B353&amp;C353</f>
        <v/>
      </c>
      <c r="E353" s="227" t="n">
        <v>0</v>
      </c>
    </row>
    <row r="354">
      <c r="A354" s="61" t="inlineStr">
        <is>
          <t>DE101</t>
        </is>
      </c>
      <c r="B354" s="61" t="inlineStr">
        <is>
          <t>Major</t>
        </is>
      </c>
      <c r="C354" s="61" t="inlineStr">
        <is>
          <t>Labor</t>
        </is>
      </c>
      <c r="D354" s="61">
        <f>A354&amp;B354&amp;C354</f>
        <v/>
      </c>
      <c r="E354" s="227" t="n">
        <v>0.5</v>
      </c>
    </row>
    <row r="355">
      <c r="A355" s="61" t="inlineStr">
        <is>
          <t>DE101</t>
        </is>
      </c>
      <c r="B355" s="61" t="inlineStr">
        <is>
          <t>Minor</t>
        </is>
      </c>
      <c r="C355" s="61" t="inlineStr">
        <is>
          <t>Labor</t>
        </is>
      </c>
      <c r="D355" s="61">
        <f>A355&amp;B355&amp;C355</f>
        <v/>
      </c>
      <c r="E355" s="227" t="n">
        <v>1</v>
      </c>
    </row>
    <row r="356">
      <c r="A356" s="61" t="inlineStr">
        <is>
          <t>DE101</t>
        </is>
      </c>
      <c r="B356" s="61" t="inlineStr">
        <is>
          <t>N/A</t>
        </is>
      </c>
      <c r="C356" s="61" t="inlineStr">
        <is>
          <t>Labor</t>
        </is>
      </c>
      <c r="D356" s="61">
        <f>A356&amp;B356&amp;C356</f>
        <v/>
      </c>
      <c r="E356" s="227" t="n">
        <v>2</v>
      </c>
    </row>
    <row r="357">
      <c r="A357" s="61" t="inlineStr">
        <is>
          <t>DE201</t>
        </is>
      </c>
      <c r="B357" s="61" t="inlineStr">
        <is>
          <t>Conformance</t>
        </is>
      </c>
      <c r="C357" s="61" t="inlineStr">
        <is>
          <t>Labor</t>
        </is>
      </c>
      <c r="D357" s="61">
        <f>A357&amp;B357&amp;C357</f>
        <v/>
      </c>
      <c r="E357" s="227" t="n">
        <v>2</v>
      </c>
    </row>
    <row r="358">
      <c r="A358" s="61" t="inlineStr">
        <is>
          <t>DE201</t>
        </is>
      </c>
      <c r="B358" s="61" t="inlineStr">
        <is>
          <t>Priority</t>
        </is>
      </c>
      <c r="C358" s="61" t="inlineStr">
        <is>
          <t>Labor</t>
        </is>
      </c>
      <c r="D358" s="61">
        <f>A358&amp;B358&amp;C358</f>
        <v/>
      </c>
      <c r="E358" s="227" t="n">
        <v>0</v>
      </c>
    </row>
    <row r="359">
      <c r="A359" s="61" t="inlineStr">
        <is>
          <t>DE201</t>
        </is>
      </c>
      <c r="B359" s="61" t="inlineStr">
        <is>
          <t>Major</t>
        </is>
      </c>
      <c r="C359" s="61" t="inlineStr">
        <is>
          <t>Labor</t>
        </is>
      </c>
      <c r="D359" s="61">
        <f>A359&amp;B359&amp;C359</f>
        <v/>
      </c>
      <c r="E359" s="227" t="n">
        <v>0.5</v>
      </c>
    </row>
    <row r="360">
      <c r="A360" s="61" t="inlineStr">
        <is>
          <t>DE201</t>
        </is>
      </c>
      <c r="B360" s="61" t="inlineStr">
        <is>
          <t>Minor</t>
        </is>
      </c>
      <c r="C360" s="61" t="inlineStr">
        <is>
          <t>Labor</t>
        </is>
      </c>
      <c r="D360" s="61">
        <f>A360&amp;B360&amp;C360</f>
        <v/>
      </c>
      <c r="E360" s="227" t="n">
        <v>1</v>
      </c>
    </row>
    <row r="361">
      <c r="A361" s="61" t="inlineStr">
        <is>
          <t>DE201</t>
        </is>
      </c>
      <c r="B361" s="61" t="inlineStr">
        <is>
          <t>N/A</t>
        </is>
      </c>
      <c r="C361" s="61" t="inlineStr">
        <is>
          <t>Labor</t>
        </is>
      </c>
      <c r="D361" s="61">
        <f>A361&amp;B361&amp;C361</f>
        <v/>
      </c>
      <c r="E361" s="227" t="n">
        <v>2</v>
      </c>
    </row>
    <row r="362">
      <c r="A362" s="61" t="inlineStr">
        <is>
          <t>DE301</t>
        </is>
      </c>
      <c r="B362" s="61" t="inlineStr">
        <is>
          <t>Conformance</t>
        </is>
      </c>
      <c r="C362" s="61" t="inlineStr">
        <is>
          <t>Labor</t>
        </is>
      </c>
      <c r="D362" s="61">
        <f>A362&amp;B362&amp;C362</f>
        <v/>
      </c>
      <c r="E362" s="227" t="n">
        <v>2</v>
      </c>
    </row>
    <row r="363">
      <c r="A363" s="61" t="inlineStr">
        <is>
          <t>DE301</t>
        </is>
      </c>
      <c r="B363" s="61" t="inlineStr">
        <is>
          <t>Priority</t>
        </is>
      </c>
      <c r="C363" s="61" t="inlineStr">
        <is>
          <t>Labor</t>
        </is>
      </c>
      <c r="D363" s="61">
        <f>A363&amp;B363&amp;C363</f>
        <v/>
      </c>
      <c r="E363" s="227" t="n">
        <v>0</v>
      </c>
    </row>
    <row r="364">
      <c r="A364" s="61" t="inlineStr">
        <is>
          <t>DE301</t>
        </is>
      </c>
      <c r="B364" s="61" t="inlineStr">
        <is>
          <t>Major</t>
        </is>
      </c>
      <c r="C364" s="61" t="inlineStr">
        <is>
          <t>Labor</t>
        </is>
      </c>
      <c r="D364" s="61">
        <f>A364&amp;B364&amp;C364</f>
        <v/>
      </c>
      <c r="E364" s="227" t="n">
        <v>0.5</v>
      </c>
    </row>
    <row r="365">
      <c r="A365" s="61" t="inlineStr">
        <is>
          <t>DE301</t>
        </is>
      </c>
      <c r="B365" s="61" t="inlineStr">
        <is>
          <t>Minor</t>
        </is>
      </c>
      <c r="C365" s="61" t="inlineStr">
        <is>
          <t>Labor</t>
        </is>
      </c>
      <c r="D365" s="61">
        <f>A365&amp;B365&amp;C365</f>
        <v/>
      </c>
      <c r="E365" s="227" t="n">
        <v>1</v>
      </c>
    </row>
    <row r="366">
      <c r="A366" s="61" t="inlineStr">
        <is>
          <t>DE301</t>
        </is>
      </c>
      <c r="B366" s="61" t="inlineStr">
        <is>
          <t>N/A</t>
        </is>
      </c>
      <c r="C366" s="61" t="inlineStr">
        <is>
          <t>Labor</t>
        </is>
      </c>
      <c r="D366" s="61">
        <f>A366&amp;B366&amp;C366</f>
        <v/>
      </c>
      <c r="E366" s="227" t="n">
        <v>2</v>
      </c>
    </row>
    <row r="367">
      <c r="A367" s="61" t="inlineStr">
        <is>
          <t>DE401</t>
        </is>
      </c>
      <c r="B367" s="61" t="inlineStr">
        <is>
          <t>Conformance</t>
        </is>
      </c>
      <c r="C367" s="61" t="inlineStr">
        <is>
          <t>Labor</t>
        </is>
      </c>
      <c r="D367" s="61">
        <f>A367&amp;B367&amp;C367</f>
        <v/>
      </c>
      <c r="E367" s="227" t="n">
        <v>2</v>
      </c>
    </row>
    <row r="368">
      <c r="A368" s="61" t="inlineStr">
        <is>
          <t>DE401</t>
        </is>
      </c>
      <c r="B368" s="61" t="inlineStr">
        <is>
          <t>Priority</t>
        </is>
      </c>
      <c r="C368" s="61" t="inlineStr">
        <is>
          <t>Labor</t>
        </is>
      </c>
      <c r="D368" s="61">
        <f>A368&amp;B368&amp;C368</f>
        <v/>
      </c>
      <c r="E368" s="227" t="n">
        <v>0</v>
      </c>
    </row>
    <row r="369">
      <c r="A369" s="61" t="inlineStr">
        <is>
          <t>DE401</t>
        </is>
      </c>
      <c r="B369" s="61" t="inlineStr">
        <is>
          <t>Major</t>
        </is>
      </c>
      <c r="C369" s="61" t="inlineStr">
        <is>
          <t>Labor</t>
        </is>
      </c>
      <c r="D369" s="61">
        <f>A369&amp;B369&amp;C369</f>
        <v/>
      </c>
      <c r="E369" s="227" t="n">
        <v>0.5</v>
      </c>
    </row>
    <row r="370">
      <c r="A370" s="61" t="inlineStr">
        <is>
          <t>DE401</t>
        </is>
      </c>
      <c r="B370" s="61" t="inlineStr">
        <is>
          <t>Minor</t>
        </is>
      </c>
      <c r="C370" s="61" t="inlineStr">
        <is>
          <t>Labor</t>
        </is>
      </c>
      <c r="D370" s="61">
        <f>A370&amp;B370&amp;C370</f>
        <v/>
      </c>
      <c r="E370" s="227" t="n">
        <v>1</v>
      </c>
    </row>
    <row r="371">
      <c r="A371" s="61" t="inlineStr">
        <is>
          <t>DE401</t>
        </is>
      </c>
      <c r="B371" s="61" t="inlineStr">
        <is>
          <t>N/A</t>
        </is>
      </c>
      <c r="C371" s="61" t="inlineStr">
        <is>
          <t>Labor</t>
        </is>
      </c>
      <c r="D371" s="61">
        <f>A371&amp;B371&amp;C371</f>
        <v/>
      </c>
      <c r="E371" s="227" t="n">
        <v>2</v>
      </c>
    </row>
    <row r="372">
      <c r="A372" s="61" t="inlineStr">
        <is>
          <t>DE501</t>
        </is>
      </c>
      <c r="B372" s="61" t="inlineStr">
        <is>
          <t>Conformance</t>
        </is>
      </c>
      <c r="C372" s="61" t="inlineStr">
        <is>
          <t>Labor</t>
        </is>
      </c>
      <c r="D372" s="61">
        <f>A372&amp;B372&amp;C372</f>
        <v/>
      </c>
      <c r="E372" s="227" t="n">
        <v>2</v>
      </c>
    </row>
    <row r="373">
      <c r="A373" s="61" t="inlineStr">
        <is>
          <t>DE501</t>
        </is>
      </c>
      <c r="B373" s="61" t="inlineStr">
        <is>
          <t>Priority</t>
        </is>
      </c>
      <c r="C373" s="61" t="inlineStr">
        <is>
          <t>Labor</t>
        </is>
      </c>
      <c r="D373" s="61">
        <f>A373&amp;B373&amp;C373</f>
        <v/>
      </c>
      <c r="E373" s="227" t="n">
        <v>0</v>
      </c>
    </row>
    <row r="374">
      <c r="A374" s="61" t="inlineStr">
        <is>
          <t>DE501</t>
        </is>
      </c>
      <c r="B374" s="61" t="inlineStr">
        <is>
          <t>Major</t>
        </is>
      </c>
      <c r="C374" s="61" t="inlineStr">
        <is>
          <t>Labor</t>
        </is>
      </c>
      <c r="D374" s="61">
        <f>A374&amp;B374&amp;C374</f>
        <v/>
      </c>
      <c r="E374" s="227" t="n">
        <v>0.5</v>
      </c>
    </row>
    <row r="375">
      <c r="A375" s="61" t="inlineStr">
        <is>
          <t>DE501</t>
        </is>
      </c>
      <c r="B375" s="61" t="inlineStr">
        <is>
          <t>Minor</t>
        </is>
      </c>
      <c r="C375" s="61" t="inlineStr">
        <is>
          <t>Labor</t>
        </is>
      </c>
      <c r="D375" s="61">
        <f>A375&amp;B375&amp;C375</f>
        <v/>
      </c>
      <c r="E375" s="227" t="n">
        <v>1</v>
      </c>
    </row>
    <row r="376">
      <c r="A376" s="61" t="inlineStr">
        <is>
          <t>DE501</t>
        </is>
      </c>
      <c r="B376" s="61" t="inlineStr">
        <is>
          <t>N/A</t>
        </is>
      </c>
      <c r="C376" s="61" t="inlineStr">
        <is>
          <t>Labor</t>
        </is>
      </c>
      <c r="D376" s="61">
        <f>A376&amp;B376&amp;C376</f>
        <v/>
      </c>
      <c r="E376" s="227" t="n">
        <v>2</v>
      </c>
    </row>
    <row r="377">
      <c r="A377" s="61" t="inlineStr">
        <is>
          <t>DE601</t>
        </is>
      </c>
      <c r="B377" s="61" t="inlineStr">
        <is>
          <t>Conformance</t>
        </is>
      </c>
      <c r="C377" s="61" t="inlineStr">
        <is>
          <t>Labor</t>
        </is>
      </c>
      <c r="D377" s="61">
        <f>A377&amp;B377&amp;C377</f>
        <v/>
      </c>
      <c r="E377" s="227" t="n">
        <v>2</v>
      </c>
    </row>
    <row r="378">
      <c r="A378" s="61" t="inlineStr">
        <is>
          <t>DE601</t>
        </is>
      </c>
      <c r="B378" s="61" t="inlineStr">
        <is>
          <t>Priority</t>
        </is>
      </c>
      <c r="C378" s="61" t="inlineStr">
        <is>
          <t>Labor</t>
        </is>
      </c>
      <c r="D378" s="61">
        <f>A378&amp;B378&amp;C378</f>
        <v/>
      </c>
      <c r="E378" s="227" t="n">
        <v>0</v>
      </c>
    </row>
    <row r="379">
      <c r="A379" s="61" t="inlineStr">
        <is>
          <t>DE601</t>
        </is>
      </c>
      <c r="B379" s="61" t="inlineStr">
        <is>
          <t>Major</t>
        </is>
      </c>
      <c r="C379" s="61" t="inlineStr">
        <is>
          <t>Labor</t>
        </is>
      </c>
      <c r="D379" s="61">
        <f>A379&amp;B379&amp;C379</f>
        <v/>
      </c>
      <c r="E379" s="227" t="n">
        <v>0.5</v>
      </c>
    </row>
    <row r="380">
      <c r="A380" s="61" t="inlineStr">
        <is>
          <t>DE601</t>
        </is>
      </c>
      <c r="B380" s="61" t="inlineStr">
        <is>
          <t>Minor</t>
        </is>
      </c>
      <c r="C380" s="61" t="inlineStr">
        <is>
          <t>Labor</t>
        </is>
      </c>
      <c r="D380" s="61">
        <f>A380&amp;B380&amp;C380</f>
        <v/>
      </c>
      <c r="E380" s="227" t="n">
        <v>1</v>
      </c>
    </row>
    <row r="381">
      <c r="A381" s="61" t="inlineStr">
        <is>
          <t>DE601</t>
        </is>
      </c>
      <c r="B381" s="61" t="inlineStr">
        <is>
          <t>N/A</t>
        </is>
      </c>
      <c r="C381" s="61" t="inlineStr">
        <is>
          <t>Labor</t>
        </is>
      </c>
      <c r="D381" s="61">
        <f>A381&amp;B381&amp;C381</f>
        <v/>
      </c>
      <c r="E381" s="227" t="n">
        <v>2</v>
      </c>
    </row>
    <row r="382">
      <c r="A382" s="61" t="inlineStr">
        <is>
          <t>DM101</t>
        </is>
      </c>
      <c r="B382" s="61" t="inlineStr">
        <is>
          <t>Conformance</t>
        </is>
      </c>
      <c r="C382" s="61" t="inlineStr">
        <is>
          <t>Labor</t>
        </is>
      </c>
      <c r="D382" s="61">
        <f>A382&amp;B382&amp;C382</f>
        <v/>
      </c>
      <c r="E382" s="227" t="n">
        <v>0.5</v>
      </c>
    </row>
    <row r="383">
      <c r="A383" s="61" t="inlineStr">
        <is>
          <t>DM101</t>
        </is>
      </c>
      <c r="B383" s="61" t="inlineStr">
        <is>
          <t>Priority</t>
        </is>
      </c>
      <c r="C383" s="61" t="inlineStr">
        <is>
          <t>Labor</t>
        </is>
      </c>
      <c r="D383" s="61">
        <f>A383&amp;B383&amp;C383</f>
        <v/>
      </c>
      <c r="E383" s="227" t="n">
        <v>0</v>
      </c>
    </row>
    <row r="384">
      <c r="A384" s="61" t="inlineStr">
        <is>
          <t>DM101</t>
        </is>
      </c>
      <c r="B384" s="61" t="inlineStr">
        <is>
          <t>Major</t>
        </is>
      </c>
      <c r="C384" s="61" t="inlineStr">
        <is>
          <t>Labor</t>
        </is>
      </c>
      <c r="D384" s="61">
        <f>A384&amp;B384&amp;C384</f>
        <v/>
      </c>
      <c r="E384" s="227" t="n">
        <v>0.1</v>
      </c>
    </row>
    <row r="385">
      <c r="A385" s="61" t="inlineStr">
        <is>
          <t>DM101</t>
        </is>
      </c>
      <c r="B385" s="61" t="inlineStr">
        <is>
          <t>Minor</t>
        </is>
      </c>
      <c r="C385" s="61" t="inlineStr">
        <is>
          <t>Labor</t>
        </is>
      </c>
      <c r="D385" s="61">
        <f>A385&amp;B385&amp;C385</f>
        <v/>
      </c>
      <c r="E385" s="227" t="n">
        <v>0.3</v>
      </c>
    </row>
    <row r="386">
      <c r="A386" s="61" t="inlineStr">
        <is>
          <t>DM101</t>
        </is>
      </c>
      <c r="B386" s="61" t="inlineStr">
        <is>
          <t>N/A</t>
        </is>
      </c>
      <c r="C386" s="61" t="inlineStr">
        <is>
          <t>Labor</t>
        </is>
      </c>
      <c r="D386" s="61">
        <f>A386&amp;B386&amp;C386</f>
        <v/>
      </c>
      <c r="E386" s="227" t="n">
        <v>0.5</v>
      </c>
    </row>
    <row r="387">
      <c r="A387" s="61" t="inlineStr">
        <is>
          <t>DM102</t>
        </is>
      </c>
      <c r="B387" s="61" t="inlineStr">
        <is>
          <t>Conformance</t>
        </is>
      </c>
      <c r="C387" s="61" t="inlineStr">
        <is>
          <t>Labor</t>
        </is>
      </c>
      <c r="D387" s="61">
        <f>A387&amp;B387&amp;C387</f>
        <v/>
      </c>
      <c r="E387" s="227" t="n">
        <v>0.5</v>
      </c>
    </row>
    <row r="388">
      <c r="A388" s="61" t="inlineStr">
        <is>
          <t>DM102</t>
        </is>
      </c>
      <c r="B388" s="61" t="inlineStr">
        <is>
          <t>Priority</t>
        </is>
      </c>
      <c r="C388" s="61" t="inlineStr">
        <is>
          <t>Labor</t>
        </is>
      </c>
      <c r="D388" s="61">
        <f>A388&amp;B388&amp;C388</f>
        <v/>
      </c>
      <c r="E388" s="227" t="n">
        <v>0</v>
      </c>
    </row>
    <row r="389">
      <c r="A389" s="61" t="inlineStr">
        <is>
          <t>DM102</t>
        </is>
      </c>
      <c r="B389" s="61" t="inlineStr">
        <is>
          <t>Major</t>
        </is>
      </c>
      <c r="C389" s="61" t="inlineStr">
        <is>
          <t>Labor</t>
        </is>
      </c>
      <c r="D389" s="61">
        <f>A389&amp;B389&amp;C389</f>
        <v/>
      </c>
      <c r="E389" s="227" t="n">
        <v>0.1</v>
      </c>
    </row>
    <row r="390">
      <c r="A390" s="61" t="inlineStr">
        <is>
          <t>DM102</t>
        </is>
      </c>
      <c r="B390" s="61" t="inlineStr">
        <is>
          <t>Minor</t>
        </is>
      </c>
      <c r="C390" s="61" t="inlineStr">
        <is>
          <t>Labor</t>
        </is>
      </c>
      <c r="D390" s="61">
        <f>A390&amp;B390&amp;C390</f>
        <v/>
      </c>
      <c r="E390" s="227" t="n">
        <v>0.3</v>
      </c>
    </row>
    <row r="391">
      <c r="A391" s="61" t="inlineStr">
        <is>
          <t>DM102</t>
        </is>
      </c>
      <c r="B391" s="61" t="inlineStr">
        <is>
          <t>N/A</t>
        </is>
      </c>
      <c r="C391" s="61" t="inlineStr">
        <is>
          <t>Labor</t>
        </is>
      </c>
      <c r="D391" s="61">
        <f>A391&amp;B391&amp;C391</f>
        <v/>
      </c>
      <c r="E391" s="227" t="n">
        <v>0.5</v>
      </c>
    </row>
    <row r="392">
      <c r="A392" s="61" t="inlineStr">
        <is>
          <t>DM201</t>
        </is>
      </c>
      <c r="B392" s="61" t="inlineStr">
        <is>
          <t>Conformance</t>
        </is>
      </c>
      <c r="C392" s="61" t="inlineStr">
        <is>
          <t>Labor</t>
        </is>
      </c>
      <c r="D392" s="61">
        <f>A392&amp;B392&amp;C392</f>
        <v/>
      </c>
      <c r="E392" s="227" t="n">
        <v>0.5</v>
      </c>
    </row>
    <row r="393">
      <c r="A393" s="61" t="inlineStr">
        <is>
          <t>DM201</t>
        </is>
      </c>
      <c r="B393" s="61" t="inlineStr">
        <is>
          <t>Priority</t>
        </is>
      </c>
      <c r="C393" s="61" t="inlineStr">
        <is>
          <t>Labor</t>
        </is>
      </c>
      <c r="D393" s="61">
        <f>A393&amp;B393&amp;C393</f>
        <v/>
      </c>
      <c r="E393" s="227" t="n">
        <v>0</v>
      </c>
    </row>
    <row r="394">
      <c r="A394" s="61" t="inlineStr">
        <is>
          <t>DM201</t>
        </is>
      </c>
      <c r="B394" s="61" t="inlineStr">
        <is>
          <t>Major</t>
        </is>
      </c>
      <c r="C394" s="61" t="inlineStr">
        <is>
          <t>Labor</t>
        </is>
      </c>
      <c r="D394" s="61">
        <f>A394&amp;B394&amp;C394</f>
        <v/>
      </c>
      <c r="E394" s="227" t="n">
        <v>0.1</v>
      </c>
    </row>
    <row r="395">
      <c r="A395" s="61" t="inlineStr">
        <is>
          <t>DM201</t>
        </is>
      </c>
      <c r="B395" s="61" t="inlineStr">
        <is>
          <t>Minor</t>
        </is>
      </c>
      <c r="C395" s="61" t="inlineStr">
        <is>
          <t>Labor</t>
        </is>
      </c>
      <c r="D395" s="61">
        <f>A395&amp;B395&amp;C395</f>
        <v/>
      </c>
      <c r="E395" s="227" t="n">
        <v>0.3</v>
      </c>
    </row>
    <row r="396">
      <c r="A396" s="61" t="inlineStr">
        <is>
          <t>DM201</t>
        </is>
      </c>
      <c r="B396" s="61" t="inlineStr">
        <is>
          <t>N/A</t>
        </is>
      </c>
      <c r="C396" s="61" t="inlineStr">
        <is>
          <t>Labor</t>
        </is>
      </c>
      <c r="D396" s="61">
        <f>A396&amp;B396&amp;C396</f>
        <v/>
      </c>
      <c r="E396" s="227" t="n">
        <v>0.5</v>
      </c>
    </row>
    <row r="397">
      <c r="A397" s="61" t="inlineStr">
        <is>
          <t>DM202</t>
        </is>
      </c>
      <c r="B397" s="61" t="inlineStr">
        <is>
          <t>Conformance</t>
        </is>
      </c>
      <c r="C397" s="61" t="inlineStr">
        <is>
          <t>Labor</t>
        </is>
      </c>
      <c r="D397" s="61">
        <f>A397&amp;B397&amp;C397</f>
        <v/>
      </c>
      <c r="E397" s="227" t="n">
        <v>0.5</v>
      </c>
    </row>
    <row r="398">
      <c r="A398" s="61" t="inlineStr">
        <is>
          <t>DM202</t>
        </is>
      </c>
      <c r="B398" s="61" t="inlineStr">
        <is>
          <t>Priority</t>
        </is>
      </c>
      <c r="C398" s="61" t="inlineStr">
        <is>
          <t>Labor</t>
        </is>
      </c>
      <c r="D398" s="61">
        <f>A398&amp;B398&amp;C398</f>
        <v/>
      </c>
      <c r="E398" s="227" t="n">
        <v>0</v>
      </c>
    </row>
    <row r="399">
      <c r="A399" s="61" t="inlineStr">
        <is>
          <t>DM202</t>
        </is>
      </c>
      <c r="B399" s="61" t="inlineStr">
        <is>
          <t>Major</t>
        </is>
      </c>
      <c r="C399" s="61" t="inlineStr">
        <is>
          <t>Labor</t>
        </is>
      </c>
      <c r="D399" s="61">
        <f>A399&amp;B399&amp;C399</f>
        <v/>
      </c>
      <c r="E399" s="227" t="n">
        <v>0.1</v>
      </c>
    </row>
    <row r="400">
      <c r="A400" s="61" t="inlineStr">
        <is>
          <t>DM202</t>
        </is>
      </c>
      <c r="B400" s="61" t="inlineStr">
        <is>
          <t>Minor</t>
        </is>
      </c>
      <c r="C400" s="61" t="inlineStr">
        <is>
          <t>Labor</t>
        </is>
      </c>
      <c r="D400" s="61">
        <f>A400&amp;B400&amp;C400</f>
        <v/>
      </c>
      <c r="E400" s="227" t="n">
        <v>0.3</v>
      </c>
    </row>
    <row r="401">
      <c r="A401" s="61" t="inlineStr">
        <is>
          <t>DM202</t>
        </is>
      </c>
      <c r="B401" s="61" t="inlineStr">
        <is>
          <t>N/A</t>
        </is>
      </c>
      <c r="C401" s="61" t="inlineStr">
        <is>
          <t>Labor</t>
        </is>
      </c>
      <c r="D401" s="61">
        <f>A401&amp;B401&amp;C401</f>
        <v/>
      </c>
      <c r="E401" s="227" t="n">
        <v>0.5</v>
      </c>
    </row>
    <row r="402">
      <c r="A402" s="61" t="inlineStr">
        <is>
          <t>DM203</t>
        </is>
      </c>
      <c r="B402" s="61" t="inlineStr">
        <is>
          <t>Conformance</t>
        </is>
      </c>
      <c r="C402" s="61" t="inlineStr">
        <is>
          <t>Labor</t>
        </is>
      </c>
      <c r="D402" s="61">
        <f>A402&amp;B402&amp;C402</f>
        <v/>
      </c>
      <c r="E402" s="227" t="n">
        <v>0.5</v>
      </c>
    </row>
    <row r="403">
      <c r="A403" s="61" t="inlineStr">
        <is>
          <t>DM203</t>
        </is>
      </c>
      <c r="B403" s="61" t="inlineStr">
        <is>
          <t>Priority</t>
        </is>
      </c>
      <c r="C403" s="61" t="inlineStr">
        <is>
          <t>Labor</t>
        </is>
      </c>
      <c r="D403" s="61">
        <f>A403&amp;B403&amp;C403</f>
        <v/>
      </c>
      <c r="E403" s="227" t="n">
        <v>0</v>
      </c>
    </row>
    <row r="404">
      <c r="A404" s="61" t="inlineStr">
        <is>
          <t>DM203</t>
        </is>
      </c>
      <c r="B404" s="61" t="inlineStr">
        <is>
          <t>Major</t>
        </is>
      </c>
      <c r="C404" s="61" t="inlineStr">
        <is>
          <t>Labor</t>
        </is>
      </c>
      <c r="D404" s="61">
        <f>A404&amp;B404&amp;C404</f>
        <v/>
      </c>
      <c r="E404" s="227" t="n">
        <v>0.1</v>
      </c>
    </row>
    <row r="405">
      <c r="A405" s="61" t="inlineStr">
        <is>
          <t>DM203</t>
        </is>
      </c>
      <c r="B405" s="61" t="inlineStr">
        <is>
          <t>Minor</t>
        </is>
      </c>
      <c r="C405" s="61" t="inlineStr">
        <is>
          <t>Labor</t>
        </is>
      </c>
      <c r="D405" s="61">
        <f>A405&amp;B405&amp;C405</f>
        <v/>
      </c>
      <c r="E405" s="227" t="n">
        <v>0.3</v>
      </c>
    </row>
    <row r="406">
      <c r="A406" s="61" t="inlineStr">
        <is>
          <t>DM203</t>
        </is>
      </c>
      <c r="B406" s="61" t="inlineStr">
        <is>
          <t>N/A</t>
        </is>
      </c>
      <c r="C406" s="61" t="inlineStr">
        <is>
          <t>Labor</t>
        </is>
      </c>
      <c r="D406" s="61">
        <f>A406&amp;B406&amp;C406</f>
        <v/>
      </c>
      <c r="E406" s="227" t="n">
        <v>0.5</v>
      </c>
    </row>
    <row r="407">
      <c r="A407" s="61" t="inlineStr">
        <is>
          <t>DM301</t>
        </is>
      </c>
      <c r="B407" s="61" t="inlineStr">
        <is>
          <t>Conformance</t>
        </is>
      </c>
      <c r="C407" s="61" t="inlineStr">
        <is>
          <t>Labor</t>
        </is>
      </c>
      <c r="D407" s="61">
        <f>A407&amp;B407&amp;C407</f>
        <v/>
      </c>
      <c r="E407" s="227" t="n">
        <v>0.5</v>
      </c>
    </row>
    <row r="408">
      <c r="A408" s="61" t="inlineStr">
        <is>
          <t>DM301</t>
        </is>
      </c>
      <c r="B408" s="61" t="inlineStr">
        <is>
          <t>Priority</t>
        </is>
      </c>
      <c r="C408" s="61" t="inlineStr">
        <is>
          <t>Labor</t>
        </is>
      </c>
      <c r="D408" s="61">
        <f>A408&amp;B408&amp;C408</f>
        <v/>
      </c>
      <c r="E408" s="227" t="n">
        <v>0</v>
      </c>
    </row>
    <row r="409">
      <c r="A409" s="61" t="inlineStr">
        <is>
          <t>DM301</t>
        </is>
      </c>
      <c r="B409" s="61" t="inlineStr">
        <is>
          <t>Major</t>
        </is>
      </c>
      <c r="C409" s="61" t="inlineStr">
        <is>
          <t>Labor</t>
        </is>
      </c>
      <c r="D409" s="61">
        <f>A409&amp;B409&amp;C409</f>
        <v/>
      </c>
      <c r="E409" s="227" t="n">
        <v>0.1</v>
      </c>
    </row>
    <row r="410">
      <c r="A410" s="61" t="inlineStr">
        <is>
          <t>DM301</t>
        </is>
      </c>
      <c r="B410" s="61" t="inlineStr">
        <is>
          <t>Minor</t>
        </is>
      </c>
      <c r="C410" s="61" t="inlineStr">
        <is>
          <t>Labor</t>
        </is>
      </c>
      <c r="D410" s="61">
        <f>A410&amp;B410&amp;C410</f>
        <v/>
      </c>
      <c r="E410" s="227" t="n">
        <v>0.3</v>
      </c>
    </row>
    <row r="411">
      <c r="A411" s="61" t="inlineStr">
        <is>
          <t>DM301</t>
        </is>
      </c>
      <c r="B411" s="61" t="inlineStr">
        <is>
          <t>N/A</t>
        </is>
      </c>
      <c r="C411" s="61" t="inlineStr">
        <is>
          <t>Labor</t>
        </is>
      </c>
      <c r="D411" s="61">
        <f>A411&amp;B411&amp;C411</f>
        <v/>
      </c>
      <c r="E411" s="227" t="n">
        <v>0.5</v>
      </c>
    </row>
    <row r="412">
      <c r="A412" s="61" t="inlineStr">
        <is>
          <t>DM302</t>
        </is>
      </c>
      <c r="B412" s="61" t="inlineStr">
        <is>
          <t>Conformance</t>
        </is>
      </c>
      <c r="C412" s="61" t="inlineStr">
        <is>
          <t>Labor</t>
        </is>
      </c>
      <c r="D412" s="61">
        <f>A412&amp;B412&amp;C412</f>
        <v/>
      </c>
      <c r="E412" s="227" t="n">
        <v>0.5</v>
      </c>
    </row>
    <row r="413">
      <c r="A413" s="61" t="inlineStr">
        <is>
          <t>DM302</t>
        </is>
      </c>
      <c r="B413" s="61" t="inlineStr">
        <is>
          <t>Priority</t>
        </is>
      </c>
      <c r="C413" s="61" t="inlineStr">
        <is>
          <t>Labor</t>
        </is>
      </c>
      <c r="D413" s="61">
        <f>A413&amp;B413&amp;C413</f>
        <v/>
      </c>
      <c r="E413" s="227" t="n">
        <v>0</v>
      </c>
    </row>
    <row r="414">
      <c r="A414" s="61" t="inlineStr">
        <is>
          <t>DM302</t>
        </is>
      </c>
      <c r="B414" s="61" t="inlineStr">
        <is>
          <t>Major</t>
        </is>
      </c>
      <c r="C414" s="61" t="inlineStr">
        <is>
          <t>Labor</t>
        </is>
      </c>
      <c r="D414" s="61">
        <f>A414&amp;B414&amp;C414</f>
        <v/>
      </c>
      <c r="E414" s="227" t="n">
        <v>0.1</v>
      </c>
    </row>
    <row r="415">
      <c r="A415" s="61" t="inlineStr">
        <is>
          <t>DM302</t>
        </is>
      </c>
      <c r="B415" s="61" t="inlineStr">
        <is>
          <t>Minor</t>
        </is>
      </c>
      <c r="C415" s="61" t="inlineStr">
        <is>
          <t>Labor</t>
        </is>
      </c>
      <c r="D415" s="61">
        <f>A415&amp;B415&amp;C415</f>
        <v/>
      </c>
      <c r="E415" s="227" t="n">
        <v>0.3</v>
      </c>
    </row>
    <row r="416">
      <c r="A416" s="61" t="inlineStr">
        <is>
          <t>DM302</t>
        </is>
      </c>
      <c r="B416" s="61" t="inlineStr">
        <is>
          <t>N/A</t>
        </is>
      </c>
      <c r="C416" s="61" t="inlineStr">
        <is>
          <t>Labor</t>
        </is>
      </c>
      <c r="D416" s="61">
        <f>A416&amp;B416&amp;C416</f>
        <v/>
      </c>
      <c r="E416" s="227" t="n">
        <v>0.5</v>
      </c>
    </row>
    <row r="417">
      <c r="A417" s="61" t="inlineStr">
        <is>
          <t>DM401</t>
        </is>
      </c>
      <c r="B417" s="61" t="inlineStr">
        <is>
          <t>Conformance</t>
        </is>
      </c>
      <c r="C417" s="61" t="inlineStr">
        <is>
          <t>Labor</t>
        </is>
      </c>
      <c r="D417" s="61">
        <f>A417&amp;B417&amp;C417</f>
        <v/>
      </c>
      <c r="E417" s="227" t="n">
        <v>0.5</v>
      </c>
    </row>
    <row r="418">
      <c r="A418" s="61" t="inlineStr">
        <is>
          <t>DM401</t>
        </is>
      </c>
      <c r="B418" s="61" t="inlineStr">
        <is>
          <t>Priority</t>
        </is>
      </c>
      <c r="C418" s="61" t="inlineStr">
        <is>
          <t>Labor</t>
        </is>
      </c>
      <c r="D418" s="61">
        <f>A418&amp;B418&amp;C418</f>
        <v/>
      </c>
      <c r="E418" s="227" t="n">
        <v>0</v>
      </c>
    </row>
    <row r="419">
      <c r="A419" s="61" t="inlineStr">
        <is>
          <t>DM401</t>
        </is>
      </c>
      <c r="B419" s="61" t="inlineStr">
        <is>
          <t>Major</t>
        </is>
      </c>
      <c r="C419" s="61" t="inlineStr">
        <is>
          <t>Labor</t>
        </is>
      </c>
      <c r="D419" s="61">
        <f>A419&amp;B419&amp;C419</f>
        <v/>
      </c>
      <c r="E419" s="227" t="n">
        <v>0.1</v>
      </c>
    </row>
    <row r="420">
      <c r="A420" s="61" t="inlineStr">
        <is>
          <t>DM401</t>
        </is>
      </c>
      <c r="B420" s="61" t="inlineStr">
        <is>
          <t>Minor</t>
        </is>
      </c>
      <c r="C420" s="61" t="inlineStr">
        <is>
          <t>Labor</t>
        </is>
      </c>
      <c r="D420" s="61">
        <f>A420&amp;B420&amp;C420</f>
        <v/>
      </c>
      <c r="E420" s="227" t="n">
        <v>0.3</v>
      </c>
    </row>
    <row r="421">
      <c r="A421" s="61" t="inlineStr">
        <is>
          <t>DM401</t>
        </is>
      </c>
      <c r="B421" s="61" t="inlineStr">
        <is>
          <t>N/A</t>
        </is>
      </c>
      <c r="C421" s="61" t="inlineStr">
        <is>
          <t>Labor</t>
        </is>
      </c>
      <c r="D421" s="61">
        <f>A421&amp;B421&amp;C421</f>
        <v/>
      </c>
      <c r="E421" s="227" t="n">
        <v>0.5</v>
      </c>
    </row>
    <row r="422">
      <c r="A422" s="61" t="inlineStr">
        <is>
          <t>DM402</t>
        </is>
      </c>
      <c r="B422" s="61" t="inlineStr">
        <is>
          <t>Conformance</t>
        </is>
      </c>
      <c r="C422" s="61" t="inlineStr">
        <is>
          <t>Labor</t>
        </is>
      </c>
      <c r="D422" s="61">
        <f>A422&amp;B422&amp;C422</f>
        <v/>
      </c>
      <c r="E422" s="227" t="n">
        <v>0.5</v>
      </c>
    </row>
    <row r="423">
      <c r="A423" s="61" t="inlineStr">
        <is>
          <t>DM402</t>
        </is>
      </c>
      <c r="B423" s="61" t="inlineStr">
        <is>
          <t>Priority</t>
        </is>
      </c>
      <c r="C423" s="61" t="inlineStr">
        <is>
          <t>Labor</t>
        </is>
      </c>
      <c r="D423" s="61">
        <f>A423&amp;B423&amp;C423</f>
        <v/>
      </c>
      <c r="E423" s="227" t="n">
        <v>0</v>
      </c>
    </row>
    <row r="424">
      <c r="A424" s="61" t="inlineStr">
        <is>
          <t>DM402</t>
        </is>
      </c>
      <c r="B424" s="61" t="inlineStr">
        <is>
          <t>Major</t>
        </is>
      </c>
      <c r="C424" s="61" t="inlineStr">
        <is>
          <t>Labor</t>
        </is>
      </c>
      <c r="D424" s="61">
        <f>A424&amp;B424&amp;C424</f>
        <v/>
      </c>
      <c r="E424" s="227" t="n">
        <v>0.1</v>
      </c>
    </row>
    <row r="425">
      <c r="A425" s="61" t="inlineStr">
        <is>
          <t>DM402</t>
        </is>
      </c>
      <c r="B425" s="61" t="inlineStr">
        <is>
          <t>Minor</t>
        </is>
      </c>
      <c r="C425" s="61" t="inlineStr">
        <is>
          <t>Labor</t>
        </is>
      </c>
      <c r="D425" s="61">
        <f>A425&amp;B425&amp;C425</f>
        <v/>
      </c>
      <c r="E425" s="227" t="n">
        <v>0.3</v>
      </c>
    </row>
    <row r="426">
      <c r="A426" s="61" t="inlineStr">
        <is>
          <t>DM402</t>
        </is>
      </c>
      <c r="B426" s="61" t="inlineStr">
        <is>
          <t>N/A</t>
        </is>
      </c>
      <c r="C426" s="61" t="inlineStr">
        <is>
          <t>Labor</t>
        </is>
      </c>
      <c r="D426" s="61">
        <f>A426&amp;B426&amp;C426</f>
        <v/>
      </c>
      <c r="E426" s="227" t="n">
        <v>0.5</v>
      </c>
    </row>
    <row r="427">
      <c r="A427" s="61" t="inlineStr">
        <is>
          <t>DM403</t>
        </is>
      </c>
      <c r="B427" s="61" t="inlineStr">
        <is>
          <t>Conformance</t>
        </is>
      </c>
      <c r="C427" s="61" t="inlineStr">
        <is>
          <t>Labor</t>
        </is>
      </c>
      <c r="D427" s="61">
        <f>A427&amp;B427&amp;C427</f>
        <v/>
      </c>
      <c r="E427" s="227" t="n">
        <v>0.5</v>
      </c>
    </row>
    <row r="428">
      <c r="A428" s="61" t="inlineStr">
        <is>
          <t>DM403</t>
        </is>
      </c>
      <c r="B428" s="61" t="inlineStr">
        <is>
          <t>Priority</t>
        </is>
      </c>
      <c r="C428" s="61" t="inlineStr">
        <is>
          <t>Labor</t>
        </is>
      </c>
      <c r="D428" s="61">
        <f>A428&amp;B428&amp;C428</f>
        <v/>
      </c>
      <c r="E428" s="227" t="n">
        <v>0</v>
      </c>
    </row>
    <row r="429">
      <c r="A429" s="61" t="inlineStr">
        <is>
          <t>DM403</t>
        </is>
      </c>
      <c r="B429" s="61" t="inlineStr">
        <is>
          <t>Major</t>
        </is>
      </c>
      <c r="C429" s="61" t="inlineStr">
        <is>
          <t>Labor</t>
        </is>
      </c>
      <c r="D429" s="61">
        <f>A429&amp;B429&amp;C429</f>
        <v/>
      </c>
      <c r="E429" s="227" t="n">
        <v>0.1</v>
      </c>
    </row>
    <row r="430">
      <c r="A430" s="61" t="inlineStr">
        <is>
          <t>DM403</t>
        </is>
      </c>
      <c r="B430" s="61" t="inlineStr">
        <is>
          <t>Minor</t>
        </is>
      </c>
      <c r="C430" s="61" t="inlineStr">
        <is>
          <t>Labor</t>
        </is>
      </c>
      <c r="D430" s="61">
        <f>A430&amp;B430&amp;C430</f>
        <v/>
      </c>
      <c r="E430" s="227" t="n">
        <v>0.3</v>
      </c>
    </row>
    <row r="431">
      <c r="A431" s="61" t="inlineStr">
        <is>
          <t>DM403</t>
        </is>
      </c>
      <c r="B431" s="61" t="inlineStr">
        <is>
          <t>N/A</t>
        </is>
      </c>
      <c r="C431" s="61" t="inlineStr">
        <is>
          <t>Labor</t>
        </is>
      </c>
      <c r="D431" s="61">
        <f>A431&amp;B431&amp;C431</f>
        <v/>
      </c>
      <c r="E431" s="227" t="n">
        <v>0.5</v>
      </c>
    </row>
    <row r="432">
      <c r="A432" s="61" t="inlineStr">
        <is>
          <t>ES101</t>
        </is>
      </c>
      <c r="B432" s="61" t="inlineStr">
        <is>
          <t>Conformance</t>
        </is>
      </c>
      <c r="C432" s="61" t="inlineStr">
        <is>
          <t>Labor</t>
        </is>
      </c>
      <c r="D432" s="61">
        <f>A432&amp;B432&amp;C432</f>
        <v/>
      </c>
      <c r="E432" s="227" t="n">
        <v>1</v>
      </c>
    </row>
    <row r="433">
      <c r="A433" s="61" t="inlineStr">
        <is>
          <t>ES101</t>
        </is>
      </c>
      <c r="B433" s="61" t="inlineStr">
        <is>
          <t>Priority</t>
        </is>
      </c>
      <c r="C433" s="61" t="inlineStr">
        <is>
          <t>Labor</t>
        </is>
      </c>
      <c r="D433" s="61">
        <f>A433&amp;B433&amp;C433</f>
        <v/>
      </c>
      <c r="E433" s="227" t="n">
        <v>0</v>
      </c>
    </row>
    <row r="434">
      <c r="A434" s="61" t="inlineStr">
        <is>
          <t>ES101</t>
        </is>
      </c>
      <c r="B434" s="61" t="inlineStr">
        <is>
          <t>Major</t>
        </is>
      </c>
      <c r="C434" s="61" t="inlineStr">
        <is>
          <t>Labor</t>
        </is>
      </c>
      <c r="D434" s="61">
        <f>A434&amp;B434&amp;C434</f>
        <v/>
      </c>
      <c r="E434" s="227" t="n">
        <v>0.2</v>
      </c>
    </row>
    <row r="435">
      <c r="A435" s="61" t="inlineStr">
        <is>
          <t>ES101</t>
        </is>
      </c>
      <c r="B435" s="61" t="inlineStr">
        <is>
          <t>Minor</t>
        </is>
      </c>
      <c r="C435" s="61" t="inlineStr">
        <is>
          <t>Labor</t>
        </is>
      </c>
      <c r="D435" s="61">
        <f>A435&amp;B435&amp;C435</f>
        <v/>
      </c>
      <c r="E435" s="227" t="n">
        <v>0.5</v>
      </c>
    </row>
    <row r="436">
      <c r="A436" s="61" t="inlineStr">
        <is>
          <t>ES101</t>
        </is>
      </c>
      <c r="B436" s="61" t="inlineStr">
        <is>
          <t>N/A</t>
        </is>
      </c>
      <c r="C436" s="61" t="inlineStr">
        <is>
          <t>Labor</t>
        </is>
      </c>
      <c r="D436" s="61">
        <f>A436&amp;B436&amp;C436</f>
        <v/>
      </c>
      <c r="E436" s="227" t="n">
        <v>1</v>
      </c>
    </row>
    <row r="437">
      <c r="A437" s="61" t="inlineStr">
        <is>
          <t>ES201</t>
        </is>
      </c>
      <c r="B437" s="61" t="inlineStr">
        <is>
          <t>Conformance</t>
        </is>
      </c>
      <c r="C437" s="61" t="inlineStr">
        <is>
          <t>Labor</t>
        </is>
      </c>
      <c r="D437" s="61">
        <f>A437&amp;B437&amp;C437</f>
        <v/>
      </c>
      <c r="E437" s="227" t="n">
        <v>1</v>
      </c>
    </row>
    <row r="438">
      <c r="A438" s="61" t="inlineStr">
        <is>
          <t>ES201</t>
        </is>
      </c>
      <c r="B438" s="61" t="inlineStr">
        <is>
          <t>Priority</t>
        </is>
      </c>
      <c r="C438" s="61" t="inlineStr">
        <is>
          <t>Labor</t>
        </is>
      </c>
      <c r="D438" s="61">
        <f>A438&amp;B438&amp;C438</f>
        <v/>
      </c>
      <c r="E438" s="227" t="n">
        <v>0</v>
      </c>
    </row>
    <row r="439">
      <c r="A439" s="61" t="inlineStr">
        <is>
          <t>ES201</t>
        </is>
      </c>
      <c r="B439" s="61" t="inlineStr">
        <is>
          <t>Major</t>
        </is>
      </c>
      <c r="C439" s="61" t="inlineStr">
        <is>
          <t>Labor</t>
        </is>
      </c>
      <c r="D439" s="61">
        <f>A439&amp;B439&amp;C439</f>
        <v/>
      </c>
      <c r="E439" s="227" t="n">
        <v>0.2</v>
      </c>
    </row>
    <row r="440">
      <c r="A440" s="61" t="inlineStr">
        <is>
          <t>ES201</t>
        </is>
      </c>
      <c r="B440" s="61" t="inlineStr">
        <is>
          <t>Minor</t>
        </is>
      </c>
      <c r="C440" s="61" t="inlineStr">
        <is>
          <t>Labor</t>
        </is>
      </c>
      <c r="D440" s="61">
        <f>A440&amp;B440&amp;C440</f>
        <v/>
      </c>
      <c r="E440" s="227" t="n">
        <v>0.5</v>
      </c>
    </row>
    <row r="441">
      <c r="A441" s="61" t="inlineStr">
        <is>
          <t>ES201</t>
        </is>
      </c>
      <c r="B441" s="61" t="inlineStr">
        <is>
          <t>N/A</t>
        </is>
      </c>
      <c r="C441" s="61" t="inlineStr">
        <is>
          <t>Labor</t>
        </is>
      </c>
      <c r="D441" s="61">
        <f>A441&amp;B441&amp;C441</f>
        <v/>
      </c>
      <c r="E441" s="227" t="n">
        <v>1</v>
      </c>
    </row>
    <row r="442">
      <c r="A442" s="61" t="inlineStr">
        <is>
          <t>ES301</t>
        </is>
      </c>
      <c r="B442" s="61" t="inlineStr">
        <is>
          <t>Conformance</t>
        </is>
      </c>
      <c r="C442" s="61" t="inlineStr">
        <is>
          <t>Labor</t>
        </is>
      </c>
      <c r="D442" s="61">
        <f>A442&amp;B442&amp;C442</f>
        <v/>
      </c>
      <c r="E442" s="227" t="n">
        <v>1</v>
      </c>
    </row>
    <row r="443">
      <c r="A443" s="61" t="inlineStr">
        <is>
          <t>ES301</t>
        </is>
      </c>
      <c r="B443" s="61" t="inlineStr">
        <is>
          <t>Priority</t>
        </is>
      </c>
      <c r="C443" s="61" t="inlineStr">
        <is>
          <t>Labor</t>
        </is>
      </c>
      <c r="D443" s="61">
        <f>A443&amp;B443&amp;C443</f>
        <v/>
      </c>
      <c r="E443" s="227" t="n">
        <v>0</v>
      </c>
    </row>
    <row r="444">
      <c r="A444" s="61" t="inlineStr">
        <is>
          <t>ES301</t>
        </is>
      </c>
      <c r="B444" s="61" t="inlineStr">
        <is>
          <t>Major</t>
        </is>
      </c>
      <c r="C444" s="61" t="inlineStr">
        <is>
          <t>Labor</t>
        </is>
      </c>
      <c r="D444" s="61">
        <f>A444&amp;B444&amp;C444</f>
        <v/>
      </c>
      <c r="E444" s="227" t="n">
        <v>0.2</v>
      </c>
    </row>
    <row r="445">
      <c r="A445" s="61" t="inlineStr">
        <is>
          <t>ES301</t>
        </is>
      </c>
      <c r="B445" s="61" t="inlineStr">
        <is>
          <t>Minor</t>
        </is>
      </c>
      <c r="C445" s="61" t="inlineStr">
        <is>
          <t>Labor</t>
        </is>
      </c>
      <c r="D445" s="61">
        <f>A445&amp;B445&amp;C445</f>
        <v/>
      </c>
      <c r="E445" s="227" t="n">
        <v>0.5</v>
      </c>
    </row>
    <row r="446">
      <c r="A446" s="61" t="inlineStr">
        <is>
          <t>ES301</t>
        </is>
      </c>
      <c r="B446" s="61" t="inlineStr">
        <is>
          <t>N/A</t>
        </is>
      </c>
      <c r="C446" s="61" t="inlineStr">
        <is>
          <t>Labor</t>
        </is>
      </c>
      <c r="D446" s="61">
        <f>A446&amp;B446&amp;C446</f>
        <v/>
      </c>
      <c r="E446" s="227" t="n">
        <v>1</v>
      </c>
    </row>
    <row r="447">
      <c r="A447" s="61" t="inlineStr">
        <is>
          <t>ES401</t>
        </is>
      </c>
      <c r="B447" s="61" t="inlineStr">
        <is>
          <t>Conformance</t>
        </is>
      </c>
      <c r="C447" s="61" t="inlineStr">
        <is>
          <t>Labor</t>
        </is>
      </c>
      <c r="D447" s="61">
        <f>A447&amp;B447&amp;C447</f>
        <v/>
      </c>
      <c r="E447" s="227" t="n">
        <v>2</v>
      </c>
    </row>
    <row r="448">
      <c r="A448" s="61" t="inlineStr">
        <is>
          <t>ES401</t>
        </is>
      </c>
      <c r="B448" s="61" t="inlineStr">
        <is>
          <t>Priority</t>
        </is>
      </c>
      <c r="C448" s="61" t="inlineStr">
        <is>
          <t>Labor</t>
        </is>
      </c>
      <c r="D448" s="61">
        <f>A448&amp;B448&amp;C448</f>
        <v/>
      </c>
      <c r="E448" s="227" t="n">
        <v>0</v>
      </c>
    </row>
    <row r="449">
      <c r="A449" s="61" t="inlineStr">
        <is>
          <t>ES401</t>
        </is>
      </c>
      <c r="B449" s="61" t="inlineStr">
        <is>
          <t>Major</t>
        </is>
      </c>
      <c r="C449" s="61" t="inlineStr">
        <is>
          <t>Labor</t>
        </is>
      </c>
      <c r="D449" s="61">
        <f>A449&amp;B449&amp;C449</f>
        <v/>
      </c>
      <c r="E449" s="227" t="n">
        <v>0.5</v>
      </c>
    </row>
    <row r="450">
      <c r="A450" s="61" t="inlineStr">
        <is>
          <t>ES401</t>
        </is>
      </c>
      <c r="B450" s="61" t="inlineStr">
        <is>
          <t>Minor</t>
        </is>
      </c>
      <c r="C450" s="61" t="inlineStr">
        <is>
          <t>Labor</t>
        </is>
      </c>
      <c r="D450" s="61">
        <f>A450&amp;B450&amp;C450</f>
        <v/>
      </c>
      <c r="E450" s="227" t="n">
        <v>1</v>
      </c>
    </row>
    <row r="451">
      <c r="A451" s="61" t="inlineStr">
        <is>
          <t>ES401</t>
        </is>
      </c>
      <c r="B451" s="61" t="inlineStr">
        <is>
          <t>N/A</t>
        </is>
      </c>
      <c r="C451" s="61" t="inlineStr">
        <is>
          <t>Labor</t>
        </is>
      </c>
      <c r="D451" s="61">
        <f>A451&amp;B451&amp;C451</f>
        <v/>
      </c>
      <c r="E451" s="227" t="n">
        <v>2</v>
      </c>
    </row>
    <row r="452">
      <c r="A452" s="61" t="inlineStr">
        <is>
          <t>ES402</t>
        </is>
      </c>
      <c r="B452" s="61" t="inlineStr">
        <is>
          <t>Conformance</t>
        </is>
      </c>
      <c r="C452" s="61" t="inlineStr">
        <is>
          <t>Labor</t>
        </is>
      </c>
      <c r="D452" s="61">
        <f>A452&amp;B452&amp;C452</f>
        <v/>
      </c>
      <c r="E452" s="227" t="n">
        <v>1</v>
      </c>
    </row>
    <row r="453">
      <c r="A453" s="61" t="inlineStr">
        <is>
          <t>ES402</t>
        </is>
      </c>
      <c r="B453" s="61" t="inlineStr">
        <is>
          <t>Priority</t>
        </is>
      </c>
      <c r="C453" s="61" t="inlineStr">
        <is>
          <t>Labor</t>
        </is>
      </c>
      <c r="D453" s="61">
        <f>A453&amp;B453&amp;C453</f>
        <v/>
      </c>
      <c r="E453" s="227" t="n">
        <v>0</v>
      </c>
    </row>
    <row r="454">
      <c r="A454" s="61" t="inlineStr">
        <is>
          <t>ES402</t>
        </is>
      </c>
      <c r="B454" s="61" t="inlineStr">
        <is>
          <t>Major</t>
        </is>
      </c>
      <c r="C454" s="61" t="inlineStr">
        <is>
          <t>Labor</t>
        </is>
      </c>
      <c r="D454" s="61">
        <f>A454&amp;B454&amp;C454</f>
        <v/>
      </c>
      <c r="E454" s="227" t="n">
        <v>0.2</v>
      </c>
    </row>
    <row r="455">
      <c r="A455" s="61" t="inlineStr">
        <is>
          <t>ES402</t>
        </is>
      </c>
      <c r="B455" s="61" t="inlineStr">
        <is>
          <t>Minor</t>
        </is>
      </c>
      <c r="C455" s="61" t="inlineStr">
        <is>
          <t>Labor</t>
        </is>
      </c>
      <c r="D455" s="61">
        <f>A455&amp;B455&amp;C455</f>
        <v/>
      </c>
      <c r="E455" s="227" t="n">
        <v>0.5</v>
      </c>
    </row>
    <row r="456">
      <c r="A456" s="61" t="inlineStr">
        <is>
          <t>ES402</t>
        </is>
      </c>
      <c r="B456" s="61" t="inlineStr">
        <is>
          <t>N/A</t>
        </is>
      </c>
      <c r="C456" s="61" t="inlineStr">
        <is>
          <t>Labor</t>
        </is>
      </c>
      <c r="D456" s="61">
        <f>A456&amp;B456&amp;C456</f>
        <v/>
      </c>
      <c r="E456" s="227" t="n">
        <v>1</v>
      </c>
    </row>
    <row r="457">
      <c r="A457" s="61" t="inlineStr">
        <is>
          <t>ES403</t>
        </is>
      </c>
      <c r="B457" s="61" t="inlineStr">
        <is>
          <t>Conformance</t>
        </is>
      </c>
      <c r="C457" s="61" t="inlineStr">
        <is>
          <t>Labor</t>
        </is>
      </c>
      <c r="D457" s="61">
        <f>A457&amp;B457&amp;C457</f>
        <v/>
      </c>
      <c r="E457" s="227" t="n">
        <v>2</v>
      </c>
    </row>
    <row r="458">
      <c r="A458" s="61" t="inlineStr">
        <is>
          <t>ES403</t>
        </is>
      </c>
      <c r="B458" s="61" t="inlineStr">
        <is>
          <t>Priority</t>
        </is>
      </c>
      <c r="C458" s="61" t="inlineStr">
        <is>
          <t>Labor</t>
        </is>
      </c>
      <c r="D458" s="61">
        <f>A458&amp;B458&amp;C458</f>
        <v/>
      </c>
      <c r="E458" s="227" t="n">
        <v>0</v>
      </c>
    </row>
    <row r="459">
      <c r="A459" s="61" t="inlineStr">
        <is>
          <t>ES403</t>
        </is>
      </c>
      <c r="B459" s="61" t="inlineStr">
        <is>
          <t>Major</t>
        </is>
      </c>
      <c r="C459" s="61" t="inlineStr">
        <is>
          <t>Labor</t>
        </is>
      </c>
      <c r="D459" s="61">
        <f>A459&amp;B459&amp;C459</f>
        <v/>
      </c>
      <c r="E459" s="227" t="n">
        <v>0.5</v>
      </c>
    </row>
    <row r="460">
      <c r="A460" s="61" t="inlineStr">
        <is>
          <t>ES403</t>
        </is>
      </c>
      <c r="B460" s="61" t="inlineStr">
        <is>
          <t>Minor</t>
        </is>
      </c>
      <c r="C460" s="61" t="inlineStr">
        <is>
          <t>Labor</t>
        </is>
      </c>
      <c r="D460" s="61">
        <f>A460&amp;B460&amp;C460</f>
        <v/>
      </c>
      <c r="E460" s="227" t="n">
        <v>1</v>
      </c>
    </row>
    <row r="461">
      <c r="A461" s="61" t="inlineStr">
        <is>
          <t>ES403</t>
        </is>
      </c>
      <c r="B461" s="61" t="inlineStr">
        <is>
          <t>N/A</t>
        </is>
      </c>
      <c r="C461" s="61" t="inlineStr">
        <is>
          <t>Labor</t>
        </is>
      </c>
      <c r="D461" s="61">
        <f>A461&amp;B461&amp;C461</f>
        <v/>
      </c>
      <c r="E461" s="227" t="n">
        <v>2</v>
      </c>
    </row>
    <row r="462">
      <c r="A462" s="61" t="inlineStr">
        <is>
          <t>ES404</t>
        </is>
      </c>
      <c r="B462" s="61" t="inlineStr">
        <is>
          <t>Conformance</t>
        </is>
      </c>
      <c r="C462" s="61" t="inlineStr">
        <is>
          <t>Labor</t>
        </is>
      </c>
      <c r="D462" s="61">
        <f>A462&amp;B462&amp;C462</f>
        <v/>
      </c>
      <c r="E462" s="227" t="n">
        <v>2</v>
      </c>
    </row>
    <row r="463">
      <c r="A463" s="61" t="inlineStr">
        <is>
          <t>ES404</t>
        </is>
      </c>
      <c r="B463" s="61" t="inlineStr">
        <is>
          <t>Priority</t>
        </is>
      </c>
      <c r="C463" s="61" t="inlineStr">
        <is>
          <t>Labor</t>
        </is>
      </c>
      <c r="D463" s="61">
        <f>A463&amp;B463&amp;C463</f>
        <v/>
      </c>
      <c r="E463" s="227" t="n">
        <v>0</v>
      </c>
    </row>
    <row r="464">
      <c r="A464" s="61" t="inlineStr">
        <is>
          <t>ES404</t>
        </is>
      </c>
      <c r="B464" s="61" t="inlineStr">
        <is>
          <t>Major</t>
        </is>
      </c>
      <c r="C464" s="61" t="inlineStr">
        <is>
          <t>Labor</t>
        </is>
      </c>
      <c r="D464" s="61">
        <f>A464&amp;B464&amp;C464</f>
        <v/>
      </c>
      <c r="E464" s="227" t="n">
        <v>0.5</v>
      </c>
    </row>
    <row r="465">
      <c r="A465" s="61" t="inlineStr">
        <is>
          <t>ES404</t>
        </is>
      </c>
      <c r="B465" s="61" t="inlineStr">
        <is>
          <t>Minor</t>
        </is>
      </c>
      <c r="C465" s="61" t="inlineStr">
        <is>
          <t>Labor</t>
        </is>
      </c>
      <c r="D465" s="61">
        <f>A465&amp;B465&amp;C465</f>
        <v/>
      </c>
      <c r="E465" s="227" t="n">
        <v>1</v>
      </c>
    </row>
    <row r="466">
      <c r="A466" s="61" t="inlineStr">
        <is>
          <t>ES404</t>
        </is>
      </c>
      <c r="B466" s="61" t="inlineStr">
        <is>
          <t>N/A</t>
        </is>
      </c>
      <c r="C466" s="61" t="inlineStr">
        <is>
          <t>Labor</t>
        </is>
      </c>
      <c r="D466" s="61">
        <f>A466&amp;B466&amp;C466</f>
        <v/>
      </c>
      <c r="E466" s="227" t="n">
        <v>2</v>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kiyung.park</dc:creator>
  <dcterms:created xsi:type="dcterms:W3CDTF">2014-05-07T01:50:42Z</dcterms:created>
  <dcterms:modified xsi:type="dcterms:W3CDTF">2026-09-10T06:32:10Z</dcterms:modified>
  <cp:lastModifiedBy>Tony</cp:lastModifiedBy>
  <cp:keywords>HR-Audit-App v3.1</cp:keywords>
  <cp:lastPrinted>2026-02-26T01:38:03Z</cp:lastPrinted>
</cp:coreProperties>
</file>

<file path=docProps/custom.xml><?xml version="1.0" encoding="utf-8"?>
<Properties xmlns:vt="http://schemas.openxmlformats.org/officeDocument/2006/docPropsVTypes" xmlns="http://schemas.openxmlformats.org/officeDocument/2006/custom-properties">
  <property name="AuditProp1" fmtid="{D5CDD505-2E9C-101B-9397-08002B2CF9AE}" pid="2">
    <vt:lpwstr>12E5E4CAF110FB7EBBC376CC41882EDBB739BA3735EBB614B60A451C1F4347A4</vt:lpwstr>
  </property>
  <property name="NSCPROP" fmtid="{D5CDD505-2E9C-101B-9397-08002B2CF9AE}" pid="3">
    <vt:lpwstr>NSCCustomProperty</vt:lpwstr>
  </property>
</Properties>
</file>