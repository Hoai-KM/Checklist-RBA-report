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Company Profile" sheetId="1" state="visible" r:id="rId1"/>
    <sheet name="General Information" sheetId="2" state="visible" r:id="rId2"/>
    <sheet name="Checklist" sheetId="3" state="visible" r:id="rId3"/>
    <sheet name="Reference table" sheetId="4" state="visible" r:id="rId4"/>
    <sheet name="Table" sheetId="5" state="hidden" r:id="rId5"/>
  </sheets>
  <externalReferences>
    <externalReference r:id="rId6"/>
    <externalReference r:id="rId7"/>
  </externalReferences>
  <definedNames>
    <definedName name="LANGUAGE">[1]Language!$B$2:$J$86</definedName>
    <definedName name="_xlnm.Print_Area" localSheetId="1">'General Information'!$A$1:$D$31</definedName>
    <definedName name="_xlnm._FilterDatabase" localSheetId="2" hidden="1">'Checklist'!$A$5:$S$57</definedName>
    <definedName name="_xlnm.Print_Titles" localSheetId="2">'Checklist'!$1:$3</definedName>
    <definedName name="_xlnm.Print_Area" localSheetId="2">'Checklist'!$A$1:$L$57</definedName>
  </definedNames>
  <calcPr calcId="191029" fullCalcOnLoad="1"/>
</workbook>
</file>

<file path=xl/styles.xml><?xml version="1.0" encoding="utf-8"?>
<styleSheet xmlns="http://schemas.openxmlformats.org/spreadsheetml/2006/main">
  <numFmts count="7">
    <numFmt numFmtId="164" formatCode="_-* #,##0.0_-;\-* #,##0.0_-;_-* &quot;-&quot;_-;_-@_-"/>
    <numFmt numFmtId="165" formatCode="yyyy\-mm\-dd;@"/>
    <numFmt numFmtId="166" formatCode="_(&quot;$&quot;* #,##0_);_(&quot;$&quot;* \(#,##0\);_(&quot;$&quot;* &quot;-&quot;??_);_(@_)"/>
    <numFmt numFmtId="167" formatCode="_(* #,##0_);_(* \(#,##0\);_(* &quot;-&quot;??_);_(@_)"/>
    <numFmt numFmtId="168" formatCode="0.0%"/>
    <numFmt numFmtId="169" formatCode="[$-409]d\-mmm\-yyyy;@"/>
    <numFmt numFmtId="170" formatCode="_-* #,##0_-;\-* #,##0_-;_-* &quot;-&quot;_-;_-@_-"/>
  </numFmts>
  <fonts count="64">
    <font>
      <name val="Calibri"/>
      <charset val="129"/>
      <family val="2"/>
      <color theme="1"/>
      <sz val="11"/>
      <scheme val="minor"/>
    </font>
    <font>
      <name val="Calibri"/>
      <family val="2"/>
      <color theme="1"/>
      <sz val="11"/>
      <scheme val="minor"/>
    </font>
    <font>
      <name val="Calibri"/>
      <charset val="129"/>
      <family val="2"/>
      <sz val="8"/>
      <scheme val="minor"/>
    </font>
    <font>
      <name val="Arial"/>
      <family val="2"/>
      <sz val="10"/>
    </font>
    <font>
      <name val="Calibri"/>
      <family val="2"/>
      <sz val="11"/>
      <scheme val="minor"/>
    </font>
    <font>
      <name val="Calibri"/>
      <family val="2"/>
      <b val="1"/>
      <sz val="11"/>
      <scheme val="minor"/>
    </font>
    <font>
      <name val="Calibri"/>
      <charset val="129"/>
      <family val="2"/>
      <color theme="1"/>
      <sz val="11"/>
      <scheme val="minor"/>
    </font>
    <font>
      <name val="Arial"/>
      <family val="2"/>
      <b val="1"/>
      <color indexed="81"/>
      <sz val="11"/>
    </font>
    <font>
      <name val="Calibri"/>
      <charset val="129"/>
      <family val="3"/>
      <color theme="1"/>
      <sz val="11"/>
      <scheme val="minor"/>
    </font>
    <font>
      <name val="Calibri"/>
      <charset val="129"/>
      <family val="3"/>
      <sz val="11"/>
      <scheme val="minor"/>
    </font>
    <font>
      <name val="Calibri"/>
      <charset val="129"/>
      <family val="3"/>
      <b val="1"/>
      <sz val="11"/>
      <scheme val="minor"/>
    </font>
    <font>
      <name val="Calibri"/>
      <charset val="129"/>
      <family val="3"/>
      <color theme="0"/>
      <sz val="11"/>
      <scheme val="minor"/>
    </font>
    <font>
      <name val="Calibri"/>
      <family val="2"/>
      <sz val="10"/>
      <scheme val="minor"/>
    </font>
    <font>
      <name val="Calibri"/>
      <charset val="129"/>
      <family val="3"/>
      <sz val="10"/>
      <scheme val="minor"/>
    </font>
    <font>
      <name val="Calibri"/>
      <charset val="129"/>
      <family val="3"/>
      <color theme="1"/>
      <sz val="10"/>
      <scheme val="minor"/>
    </font>
    <font>
      <name val="맑은 고딕"/>
      <family val="2"/>
      <b val="1"/>
      <color rgb="FFFF0000"/>
      <sz val="11"/>
    </font>
    <font>
      <name val="Calibri"/>
      <charset val="129"/>
      <family val="3"/>
      <color rgb="FFFF0000"/>
      <sz val="11"/>
      <scheme val="minor"/>
    </font>
    <font>
      <name val="Calibri"/>
      <charset val="129"/>
      <family val="3"/>
      <b val="1"/>
      <color rgb="FFFF0000"/>
      <sz val="11"/>
      <scheme val="minor"/>
    </font>
    <font>
      <name val="Arial"/>
      <family val="2"/>
      <sz val="18"/>
    </font>
    <font>
      <name val="Arial"/>
      <family val="2"/>
      <b val="1"/>
      <color rgb="FF000000"/>
      <sz val="10"/>
    </font>
    <font>
      <name val="Arial"/>
      <family val="2"/>
      <color rgb="FF000000"/>
      <sz val="10"/>
    </font>
    <font>
      <name val="Arial"/>
      <family val="2"/>
      <color rgb="FF0000FF"/>
      <sz val="9"/>
    </font>
    <font>
      <name val="Arial"/>
      <family val="2"/>
      <b val="1"/>
      <color rgb="FF0000FF"/>
      <sz val="9"/>
    </font>
    <font>
      <name val="Arial"/>
      <family val="2"/>
      <color rgb="FF000000"/>
      <sz val="9"/>
    </font>
    <font>
      <name val="Arial"/>
      <family val="2"/>
      <b val="1"/>
      <sz val="11"/>
    </font>
    <font>
      <name val="Arial"/>
      <family val="2"/>
      <color theme="1"/>
      <sz val="11"/>
    </font>
    <font>
      <name val="Arial"/>
      <family val="2"/>
      <color theme="1"/>
      <sz val="9"/>
    </font>
    <font>
      <name val="Arial"/>
      <family val="2"/>
      <color theme="1"/>
      <sz val="9"/>
      <u val="single"/>
    </font>
    <font>
      <name val="Arial"/>
      <family val="2"/>
      <b val="1"/>
      <color theme="1"/>
      <sz val="9"/>
    </font>
    <font>
      <name val="Arial"/>
      <family val="2"/>
      <b val="1"/>
      <color rgb="FF000000"/>
      <sz val="9"/>
    </font>
    <font>
      <name val="Arial"/>
      <family val="2"/>
      <b val="1"/>
      <color theme="1"/>
      <sz val="10"/>
    </font>
    <font>
      <name val="Arial"/>
      <family val="2"/>
      <b val="1"/>
      <color theme="1"/>
      <sz val="11"/>
    </font>
    <font>
      <name val="맑은 고딕"/>
      <charset val="129"/>
      <family val="3"/>
      <color rgb="FF000000"/>
      <sz val="9"/>
    </font>
    <font>
      <name val="맑은 고딕"/>
      <charset val="129"/>
      <family val="3"/>
      <color rgb="FF000000"/>
      <sz val="8"/>
    </font>
    <font>
      <name val="맑은 고딕"/>
      <charset val="129"/>
      <family val="3"/>
      <color rgb="FFFFFFFF"/>
      <sz val="8"/>
    </font>
    <font>
      <name val="맑은 고딕"/>
      <charset val="129"/>
      <family val="3"/>
      <b val="1"/>
      <color rgb="FF000000"/>
      <sz val="10"/>
    </font>
    <font>
      <name val="맑은 고딕"/>
      <charset val="129"/>
      <family val="3"/>
      <color rgb="FFFFFFFF"/>
      <sz val="10"/>
    </font>
    <font>
      <name val="맑은 고딕"/>
      <charset val="129"/>
      <family val="3"/>
      <color rgb="FF000000"/>
      <sz val="10"/>
    </font>
    <font>
      <name val="돋움"/>
      <charset val="129"/>
      <family val="3"/>
      <color rgb="FF000000"/>
      <sz val="9"/>
    </font>
    <font>
      <name val="돋움"/>
      <charset val="129"/>
      <family val="3"/>
      <b val="1"/>
      <color theme="1"/>
      <sz val="10"/>
    </font>
    <font>
      <name val="Calibri"/>
      <charset val="129"/>
      <family val="3"/>
      <color rgb="FF0000FF"/>
      <sz val="9"/>
      <scheme val="minor"/>
    </font>
    <font>
      <name val="Calibri"/>
      <charset val="129"/>
      <family val="3"/>
      <color rgb="FF0000FF"/>
      <sz val="10"/>
      <scheme val="minor"/>
    </font>
    <font>
      <name val="Calibri"/>
      <charset val="129"/>
      <family val="3"/>
      <b val="1"/>
      <color theme="1"/>
      <sz val="11"/>
      <scheme val="minor"/>
    </font>
    <font>
      <name val="Calibri"/>
      <family val="2"/>
      <b val="1"/>
      <color theme="1"/>
      <sz val="20"/>
      <u val="single"/>
      <scheme val="minor"/>
    </font>
    <font>
      <name val="Calibri"/>
      <charset val="129"/>
      <family val="3"/>
      <b val="1"/>
      <color theme="1"/>
      <sz val="20"/>
      <u val="single"/>
      <scheme val="minor"/>
    </font>
    <font>
      <name val="Calibri"/>
      <charset val="129"/>
      <family val="3"/>
      <color theme="1"/>
      <sz val="20"/>
      <scheme val="minor"/>
    </font>
    <font>
      <name val="Calibri"/>
      <charset val="129"/>
      <family val="2"/>
      <color theme="1"/>
      <sz val="10"/>
      <scheme val="minor"/>
    </font>
    <font>
      <name val="Calibri"/>
      <family val="2"/>
      <color theme="10"/>
      <sz val="11"/>
      <u val="single"/>
      <scheme val="minor"/>
    </font>
    <font>
      <name val="Calibri"/>
      <charset val="129"/>
      <family val="2"/>
      <color theme="10"/>
      <sz val="10"/>
      <u val="single"/>
      <scheme val="minor"/>
    </font>
    <font>
      <name val="Calibri"/>
      <charset val="129"/>
      <family val="3"/>
      <color indexed="8"/>
      <sz val="10"/>
      <scheme val="minor"/>
    </font>
    <font>
      <name val="Calibri"/>
      <charset val="129"/>
      <family val="3"/>
      <b val="1"/>
      <color rgb="FF0000FF"/>
      <sz val="10"/>
      <scheme val="minor"/>
    </font>
    <font>
      <name val="Calibri"/>
      <charset val="128"/>
      <family val="3"/>
      <sz val="10"/>
      <scheme val="minor"/>
    </font>
    <font>
      <name val="Times New Roman"/>
      <family val="1"/>
      <b val="1"/>
      <color theme="1"/>
      <sz val="36"/>
    </font>
    <font>
      <name val="Times New Roman"/>
      <family val="1"/>
      <b val="1"/>
      <color theme="1"/>
      <sz val="20"/>
    </font>
    <font>
      <name val="Times New Roman"/>
      <family val="1"/>
      <color theme="1"/>
      <sz val="20"/>
    </font>
    <font>
      <name val="Calibri"/>
      <charset val="129"/>
      <family val="2"/>
      <color theme="10"/>
      <sz val="11"/>
      <u val="single"/>
      <scheme val="minor"/>
    </font>
    <font>
      <name val="Times New Roman"/>
      <family val="1"/>
      <b val="1"/>
      <color theme="1"/>
      <sz val="18"/>
    </font>
    <font>
      <name val="Times New Roman"/>
      <family val="1"/>
      <color theme="1"/>
      <sz val="18"/>
    </font>
    <font>
      <name val="Times New Roman"/>
      <family val="1"/>
      <b val="1"/>
      <color indexed="8"/>
      <sz val="20"/>
    </font>
    <font>
      <name val="Times New Roman"/>
      <family val="1"/>
      <b val="1"/>
      <color rgb="FF0070C0"/>
      <sz val="20"/>
    </font>
    <font>
      <name val="Times New Roman"/>
      <family val="1"/>
      <b val="1"/>
      <i val="1"/>
      <color theme="1"/>
      <sz val="20"/>
    </font>
    <font>
      <name val="Times New Roman"/>
      <family val="1"/>
      <color theme="1"/>
      <sz val="17"/>
    </font>
    <font>
      <name val="Times New Roman"/>
      <family val="1"/>
      <color theme="10"/>
      <sz val="18"/>
      <u val="single"/>
    </font>
    <font>
      <name val="Times New Roman"/>
      <family val="1"/>
      <color rgb="FF0000FF"/>
      <sz val="18"/>
    </font>
  </fonts>
  <fills count="20">
    <fill>
      <patternFill/>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theme="4" tint="0.5999938962981048"/>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top style="thin">
        <color rgb="FF7F7F7F"/>
      </top>
      <bottom/>
      <diagonal/>
    </border>
    <border>
      <left style="thin">
        <color indexed="64"/>
      </left>
      <right style="thick">
        <color indexed="64"/>
      </right>
      <top style="thick">
        <color indexed="64"/>
      </top>
      <bottom style="thin">
        <color indexed="64"/>
      </bottom>
      <diagonal/>
    </border>
    <border>
      <left/>
      <right/>
      <top style="thick">
        <color indexed="64"/>
      </top>
      <bottom/>
      <diagonal/>
    </border>
    <border>
      <left/>
      <right style="thick">
        <color indexed="64"/>
      </right>
      <top style="thick">
        <color indexed="64"/>
      </top>
      <bottom/>
      <diagonal/>
    </border>
    <border>
      <left/>
      <right style="thin">
        <color rgb="FF7F7F7F"/>
      </right>
      <top style="thin">
        <color indexed="64"/>
      </top>
      <bottom/>
      <diagonal/>
    </border>
    <border>
      <left style="thin">
        <color indexed="64"/>
      </left>
      <right style="thin">
        <color indexed="64"/>
      </right>
      <top style="thin">
        <color rgb="FF7F7F7F"/>
      </top>
      <bottom style="thin">
        <color rgb="FF7F7F7F"/>
      </bottom>
      <diagonal/>
    </border>
    <border>
      <left/>
      <right style="thin">
        <color indexed="64"/>
      </right>
      <top style="thin">
        <color rgb="FF7F7F7F"/>
      </top>
      <bottom/>
      <diagonal/>
    </border>
  </borders>
  <cellStyleXfs count="10">
    <xf numFmtId="0" fontId="6" fillId="0" borderId="0" applyAlignment="1">
      <alignment vertical="center"/>
    </xf>
    <xf numFmtId="0" fontId="3" fillId="0" borderId="0"/>
    <xf numFmtId="9" fontId="6" fillId="0" borderId="0" applyAlignment="1">
      <alignment vertical="center"/>
    </xf>
    <xf numFmtId="0" fontId="8" fillId="0" borderId="0" applyAlignment="1">
      <alignment vertical="center"/>
    </xf>
    <xf numFmtId="170" fontId="6" fillId="0" borderId="0" applyAlignment="1">
      <alignment vertical="center"/>
    </xf>
    <xf numFmtId="0" fontId="47" fillId="0" borderId="0"/>
    <xf numFmtId="43" fontId="6" fillId="0" borderId="0"/>
    <xf numFmtId="0" fontId="55" fillId="0" borderId="0" applyAlignment="1">
      <alignment vertical="center"/>
    </xf>
    <xf numFmtId="0" fontId="6" fillId="0" borderId="0" applyAlignment="1">
      <alignment vertical="center"/>
    </xf>
    <xf numFmtId="44" fontId="6" fillId="0" borderId="0"/>
  </cellStyleXfs>
  <cellXfs count="229">
    <xf numFmtId="0" fontId="0" fillId="0" borderId="0" applyAlignment="1" pivotButton="0" quotePrefix="0" xfId="0">
      <alignment vertical="center"/>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wrapText="1"/>
      <protection locked="0" hidden="0"/>
    </xf>
    <xf numFmtId="0" fontId="4" fillId="0" borderId="0" applyAlignment="1" applyProtection="1" pivotButton="0" quotePrefix="0" xfId="0">
      <alignment horizontal="left" vertical="top" wrapText="1"/>
      <protection locked="0" hidden="0"/>
    </xf>
    <xf numFmtId="0" fontId="4" fillId="0" borderId="0" applyAlignment="1" applyProtection="1" pivotButton="0" quotePrefix="0" xfId="0">
      <alignment wrapText="1"/>
      <protection locked="0" hidden="0"/>
    </xf>
    <xf numFmtId="0" fontId="4" fillId="0" borderId="0" applyAlignment="1" applyProtection="1" pivotButton="0" quotePrefix="0" xfId="0">
      <alignment vertical="center" wrapText="1"/>
      <protection locked="0" hidden="0"/>
    </xf>
    <xf numFmtId="0" fontId="4" fillId="0" borderId="0" applyAlignment="1" pivotButton="0" quotePrefix="0" xfId="0">
      <alignment horizontal="left" vertical="center"/>
    </xf>
    <xf numFmtId="0" fontId="8" fillId="0" borderId="0" applyAlignment="1" applyProtection="1" pivotButton="0" quotePrefix="0" xfId="0">
      <alignment horizontal="center" wrapText="1"/>
      <protection locked="0" hidden="0"/>
    </xf>
    <xf numFmtId="0" fontId="13" fillId="0" borderId="1" applyAlignment="1" applyProtection="1" pivotButton="0" quotePrefix="0" xfId="0">
      <alignment horizontal="center" vertical="center" wrapText="1"/>
      <protection locked="0" hidden="0"/>
    </xf>
    <xf numFmtId="0" fontId="13" fillId="0" borderId="1" applyAlignment="1" pivotButton="0" quotePrefix="0" xfId="0">
      <alignment horizontal="center" vertical="center" wrapText="1"/>
    </xf>
    <xf numFmtId="0" fontId="13" fillId="0" borderId="0" applyAlignment="1" applyProtection="1" pivotButton="0" quotePrefix="0" xfId="0">
      <alignment wrapText="1"/>
      <protection locked="0" hidden="0"/>
    </xf>
    <xf numFmtId="0" fontId="13" fillId="0" borderId="0" applyAlignment="1" applyProtection="1" pivotButton="0" quotePrefix="0" xfId="0">
      <alignment vertical="center"/>
      <protection locked="0" hidden="0"/>
    </xf>
    <xf numFmtId="0" fontId="13" fillId="0" borderId="0" applyProtection="1" pivotButton="0" quotePrefix="0" xfId="0">
      <protection locked="0" hidden="0"/>
    </xf>
    <xf numFmtId="0" fontId="13" fillId="6"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center" vertical="top" wrapText="1"/>
    </xf>
    <xf numFmtId="0" fontId="15" fillId="0" borderId="0" applyAlignment="1" applyProtection="1" pivotButton="0" quotePrefix="0" xfId="0">
      <alignment vertical="center"/>
      <protection locked="0" hidden="0"/>
    </xf>
    <xf numFmtId="0" fontId="10" fillId="3" borderId="1" applyAlignment="1" applyProtection="1" pivotButton="0" quotePrefix="0" xfId="0">
      <alignment horizontal="center" vertical="center" wrapText="1"/>
      <protection locked="0" hidden="0"/>
    </xf>
    <xf numFmtId="0" fontId="9" fillId="0" borderId="0" applyAlignment="1" applyProtection="1" pivotButton="0" quotePrefix="0" xfId="0">
      <alignment wrapText="1"/>
      <protection locked="0" hidden="0"/>
    </xf>
    <xf numFmtId="0" fontId="14" fillId="0" borderId="1" applyAlignment="1" applyProtection="1" pivotButton="0" quotePrefix="0" xfId="0">
      <alignment horizontal="center" vertical="center" wrapText="1"/>
      <protection locked="0" hidden="0"/>
    </xf>
    <xf numFmtId="0" fontId="14" fillId="0" borderId="1" applyAlignment="1" pivotButton="0" quotePrefix="0" xfId="0">
      <alignment horizontal="center" vertical="center" wrapText="1"/>
    </xf>
    <xf numFmtId="0" fontId="16" fillId="0" borderId="0" applyAlignment="1" applyProtection="1" pivotButton="0" quotePrefix="0" xfId="0">
      <alignment horizontal="center" wrapText="1"/>
      <protection locked="0" hidden="0"/>
    </xf>
    <xf numFmtId="0" fontId="11" fillId="0" borderId="0" applyAlignment="1" applyProtection="1" pivotButton="0" quotePrefix="0" xfId="0">
      <alignment horizontal="center" vertical="center"/>
      <protection locked="0" hidden="0"/>
    </xf>
    <xf numFmtId="0" fontId="11" fillId="0" borderId="0" applyAlignment="1" pivotButton="0" quotePrefix="0" xfId="0">
      <alignment horizontal="center" vertical="center"/>
    </xf>
    <xf numFmtId="0" fontId="13" fillId="7" borderId="1" applyAlignment="1" pivotButton="0" quotePrefix="0" xfId="0">
      <alignment horizontal="left" vertical="center" wrapText="1"/>
    </xf>
    <xf numFmtId="0" fontId="14" fillId="0" borderId="1" applyAlignment="1" pivotButton="0" quotePrefix="0" xfId="0">
      <alignment horizontal="left" vertical="center" wrapText="1"/>
    </xf>
    <xf numFmtId="49" fontId="14" fillId="0" borderId="1" applyAlignment="1" pivotButton="0" quotePrefix="0" xfId="0">
      <alignment horizontal="left" vertical="center" wrapText="1"/>
    </xf>
    <xf numFmtId="0" fontId="17" fillId="0" borderId="0" applyAlignment="1" applyProtection="1" pivotButton="0" quotePrefix="0" xfId="0">
      <alignment horizontal="center" vertical="center" wrapText="1"/>
      <protection locked="0" hidden="0"/>
    </xf>
    <xf numFmtId="0" fontId="26"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24" fillId="12" borderId="6" applyAlignment="1" applyProtection="1" pivotButton="0" quotePrefix="0" xfId="0">
      <alignment horizontal="center" vertical="center" wrapText="1"/>
      <protection locked="0" hidden="0"/>
    </xf>
    <xf numFmtId="0" fontId="26" fillId="0" borderId="12" applyAlignment="1" pivotButton="0" quotePrefix="0" xfId="0">
      <alignment horizontal="center" vertical="center"/>
    </xf>
    <xf numFmtId="0" fontId="18" fillId="0" borderId="14" applyAlignment="1" pivotButton="0" quotePrefix="0" xfId="0">
      <alignment vertical="center" wrapText="1"/>
    </xf>
    <xf numFmtId="0" fontId="13" fillId="5" borderId="1" applyAlignment="1" applyProtection="1" pivotButton="0" quotePrefix="0" xfId="0">
      <alignment horizontal="center" vertical="center" wrapText="1"/>
      <protection locked="0" hidden="0"/>
    </xf>
    <xf numFmtId="0" fontId="28" fillId="0" borderId="0" applyAlignment="1" pivotButton="0" quotePrefix="0" xfId="0">
      <alignment horizontal="center" vertical="center" wrapText="1"/>
    </xf>
    <xf numFmtId="0" fontId="27" fillId="0" borderId="4" applyAlignment="1" pivotButton="0" quotePrefix="0" xfId="0">
      <alignment horizontal="center" vertical="center" wrapText="1"/>
    </xf>
    <xf numFmtId="0" fontId="3" fillId="0" borderId="1" applyAlignment="1" pivotButton="0" quotePrefix="0" xfId="0">
      <alignment horizontal="center" vertical="center" wrapText="1"/>
    </xf>
    <xf numFmtId="0" fontId="40" fillId="0" borderId="31" applyAlignment="1" applyProtection="1" pivotButton="0" quotePrefix="0" xfId="0">
      <alignment horizontal="center" vertical="center" wrapText="1"/>
      <protection locked="0" hidden="0"/>
    </xf>
    <xf numFmtId="0" fontId="41" fillId="0" borderId="31" applyAlignment="1" applyProtection="1" pivotButton="0" quotePrefix="0" xfId="0">
      <alignment horizontal="center" vertical="center" wrapText="1"/>
      <protection locked="0" hidden="0"/>
    </xf>
    <xf numFmtId="0" fontId="10" fillId="0" borderId="1" applyAlignment="1" applyProtection="1" pivotButton="0" quotePrefix="0" xfId="0">
      <alignment horizontal="center" vertical="center" shrinkToFit="1"/>
      <protection locked="0" hidden="0"/>
    </xf>
    <xf numFmtId="0" fontId="10" fillId="0" borderId="32"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shrinkToFit="1"/>
      <protection locked="0" hidden="0"/>
    </xf>
    <xf numFmtId="0" fontId="4" fillId="2" borderId="33" applyAlignment="1" applyProtection="1" pivotButton="0" quotePrefix="0" xfId="0">
      <alignment horizontal="center" vertical="center"/>
      <protection locked="0" hidden="0"/>
    </xf>
    <xf numFmtId="0" fontId="10" fillId="0" borderId="6" applyAlignment="1" applyProtection="1" pivotButton="0" quotePrefix="0" xfId="0">
      <alignment horizontal="center" vertical="center"/>
      <protection locked="0" hidden="0"/>
    </xf>
    <xf numFmtId="0" fontId="10" fillId="0" borderId="34" applyAlignment="1" applyProtection="1" pivotButton="0" quotePrefix="0" xfId="0">
      <alignment horizontal="center" vertical="center"/>
      <protection locked="0" hidden="0"/>
    </xf>
    <xf numFmtId="164" fontId="42" fillId="12" borderId="35" applyAlignment="1" pivotButton="0" quotePrefix="0" xfId="4">
      <alignment vertical="center"/>
    </xf>
    <xf numFmtId="0" fontId="10" fillId="0" borderId="36"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0" fontId="25" fillId="2" borderId="1" applyAlignment="1" pivotButton="0" quotePrefix="0" xfId="0">
      <alignment horizontal="center" vertical="center"/>
    </xf>
    <xf numFmtId="0" fontId="45" fillId="0" borderId="0" pivotButton="0" quotePrefix="0" xfId="0"/>
    <xf numFmtId="0" fontId="45" fillId="0" borderId="0" applyAlignment="1" pivotButton="0" quotePrefix="0" xfId="0">
      <alignment vertical="center"/>
    </xf>
    <xf numFmtId="0" fontId="46" fillId="2" borderId="1" applyAlignment="1" pivotButton="0" quotePrefix="0" xfId="0">
      <alignment horizontal="center" vertical="center" wrapText="1"/>
    </xf>
    <xf numFmtId="0" fontId="48" fillId="2" borderId="1" applyAlignment="1" pivotButton="0" quotePrefix="0" xfId="5">
      <alignment horizontal="center" vertical="center" wrapText="1"/>
    </xf>
    <xf numFmtId="0" fontId="46" fillId="16" borderId="1" applyAlignment="1" pivotButton="0" quotePrefix="0" xfId="0">
      <alignment horizontal="center" vertical="center"/>
    </xf>
    <xf numFmtId="0" fontId="46" fillId="16" borderId="32" applyAlignment="1" pivotButton="0" quotePrefix="0" xfId="0">
      <alignment horizontal="center" vertical="center"/>
    </xf>
    <xf numFmtId="0" fontId="46" fillId="2" borderId="32" applyAlignment="1" pivotButton="0" quotePrefix="0" xfId="0">
      <alignment horizontal="center" vertical="center" wrapText="1"/>
    </xf>
    <xf numFmtId="0" fontId="46" fillId="16" borderId="38" applyAlignment="1" pivotButton="0" quotePrefix="0" xfId="0">
      <alignment horizontal="center" vertical="center"/>
    </xf>
    <xf numFmtId="0" fontId="46" fillId="2" borderId="38" applyAlignment="1" pivotButton="0" quotePrefix="0" xfId="0">
      <alignment horizontal="center" vertical="center" wrapText="1"/>
    </xf>
    <xf numFmtId="0" fontId="46" fillId="16" borderId="39" applyAlignment="1" pivotButton="0" quotePrefix="0" xfId="0">
      <alignment horizontal="center" vertical="center"/>
    </xf>
    <xf numFmtId="0" fontId="46" fillId="2" borderId="39" applyAlignment="1" pivotButton="0" quotePrefix="0" xfId="0">
      <alignment horizontal="center" vertical="center" wrapText="1"/>
    </xf>
    <xf numFmtId="0" fontId="46" fillId="16" borderId="1" applyAlignment="1" pivotButton="0" quotePrefix="0" xfId="0">
      <alignment horizontal="center" vertical="center" wrapText="1"/>
    </xf>
    <xf numFmtId="0" fontId="25" fillId="0" borderId="1" applyAlignment="1" pivotButton="0" quotePrefix="0" xfId="0">
      <alignment horizontal="center"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xf numFmtId="0" fontId="0" fillId="0" borderId="0" applyAlignment="1" pivotButton="0" quotePrefix="0" xfId="0">
      <alignment horizontal="center" vertical="center"/>
    </xf>
    <xf numFmtId="164" fontId="0" fillId="0" borderId="0" applyAlignment="1" pivotButton="0" quotePrefix="0" xfId="4">
      <alignment vertical="center"/>
    </xf>
    <xf numFmtId="0" fontId="4" fillId="0" borderId="1" applyAlignment="1" applyProtection="1" pivotButton="0" quotePrefix="0" xfId="0">
      <alignment horizontal="center" vertical="center" wrapText="1"/>
      <protection locked="0" hidden="0"/>
    </xf>
    <xf numFmtId="0" fontId="13" fillId="0" borderId="1" applyAlignment="1" pivotButton="0" quotePrefix="0" xfId="0">
      <alignment horizontal="left" vertical="center" wrapText="1"/>
    </xf>
    <xf numFmtId="0" fontId="49" fillId="0" borderId="1" applyAlignment="1" pivotButton="0" quotePrefix="0" xfId="0">
      <alignment horizontal="left" vertical="center" wrapText="1"/>
    </xf>
    <xf numFmtId="0" fontId="13" fillId="0" borderId="1" applyAlignment="1" applyProtection="1" pivotButton="0" quotePrefix="0" xfId="0">
      <alignment horizontal="left" vertical="center" wrapText="1"/>
      <protection locked="0" hidden="0"/>
    </xf>
    <xf numFmtId="0" fontId="9" fillId="0" borderId="1" applyAlignment="1" applyProtection="1" pivotButton="0" quotePrefix="0" xfId="0">
      <alignment horizontal="left" vertical="center" wrapText="1"/>
      <protection locked="0" hidden="0"/>
    </xf>
    <xf numFmtId="0" fontId="13" fillId="0" borderId="32" applyAlignment="1" applyProtection="1" pivotButton="0" quotePrefix="0" xfId="0">
      <alignment horizontal="center" vertical="center" wrapText="1"/>
      <protection locked="0" hidden="0"/>
    </xf>
    <xf numFmtId="0" fontId="41" fillId="0" borderId="40" applyAlignment="1" applyProtection="1" pivotButton="0" quotePrefix="0" xfId="0">
      <alignment horizontal="center" vertical="center" wrapText="1"/>
      <protection locked="0" hidden="0"/>
    </xf>
    <xf numFmtId="0" fontId="14" fillId="2" borderId="1" applyAlignment="1" applyProtection="1" pivotButton="0" quotePrefix="0" xfId="0">
      <alignment horizontal="left" vertical="center" wrapText="1"/>
      <protection locked="0" hidden="0"/>
    </xf>
    <xf numFmtId="0" fontId="41" fillId="0"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protection locked="0" hidden="0"/>
    </xf>
    <xf numFmtId="0" fontId="12" fillId="4" borderId="1" applyAlignment="1" pivotButton="0" quotePrefix="0" xfId="0">
      <alignment horizontal="left" vertical="center" wrapText="1"/>
    </xf>
    <xf numFmtId="0" fontId="25" fillId="0" borderId="0" applyAlignment="1" pivotButton="0" quotePrefix="0" xfId="0">
      <alignment vertical="center"/>
    </xf>
    <xf numFmtId="0" fontId="0" fillId="0" borderId="23" applyAlignment="1" pivotButton="0" quotePrefix="0" xfId="0">
      <alignment vertical="center"/>
    </xf>
    <xf numFmtId="0" fontId="0" fillId="0" borderId="11" applyAlignment="1" pivotButton="0" quotePrefix="0" xfId="0">
      <alignment vertical="center"/>
    </xf>
    <xf numFmtId="0" fontId="32" fillId="13" borderId="2"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11" applyAlignment="1" pivotButton="0" quotePrefix="0" xfId="0">
      <alignment horizontal="center" vertical="center" wrapText="1"/>
    </xf>
    <xf numFmtId="0" fontId="20" fillId="0" borderId="2" applyAlignment="1" pivotButton="0" quotePrefix="0" xfId="0">
      <alignment horizontal="center" vertical="center" wrapText="1"/>
    </xf>
    <xf numFmtId="0" fontId="33" fillId="8" borderId="2" applyAlignment="1" pivotButton="0" quotePrefix="0" xfId="0">
      <alignment horizontal="center" vertical="center" wrapText="1"/>
    </xf>
    <xf numFmtId="0" fontId="33" fillId="9" borderId="2" applyAlignment="1" pivotButton="0" quotePrefix="0" xfId="0">
      <alignment horizontal="center" vertical="center" wrapText="1"/>
    </xf>
    <xf numFmtId="0" fontId="34" fillId="14" borderId="2"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11" applyAlignment="1" pivotButton="0" quotePrefix="0" xfId="0">
      <alignment horizontal="center" vertical="center" wrapText="1"/>
    </xf>
    <xf numFmtId="0" fontId="25" fillId="0" borderId="11" applyAlignment="1" pivotButton="0" quotePrefix="0" xfId="0">
      <alignment vertical="center"/>
    </xf>
    <xf numFmtId="0" fontId="19" fillId="10" borderId="1" applyAlignment="1" pivotButton="0" quotePrefix="0" xfId="0">
      <alignment horizontal="center" vertical="center" wrapText="1"/>
    </xf>
    <xf numFmtId="0" fontId="35" fillId="11" borderId="2" applyAlignment="1" pivotButton="0" quotePrefix="0" xfId="0">
      <alignment horizontal="center" vertical="center" wrapText="1"/>
    </xf>
    <xf numFmtId="0" fontId="19" fillId="10" borderId="14"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14" applyAlignment="1" pivotButton="0" quotePrefix="0" xfId="0">
      <alignment horizontal="left" vertical="center" wrapText="1"/>
    </xf>
    <xf numFmtId="0" fontId="37" fillId="15" borderId="2" applyAlignment="1" pivotButton="0" quotePrefix="0" xfId="0">
      <alignment horizontal="center" vertical="center" wrapText="1"/>
    </xf>
    <xf numFmtId="0" fontId="37" fillId="8" borderId="2" applyAlignment="1" pivotButton="0" quotePrefix="0" xfId="0">
      <alignment horizontal="center" vertical="center" wrapText="1"/>
    </xf>
    <xf numFmtId="0" fontId="37" fillId="9" borderId="2" applyAlignment="1" pivotButton="0" quotePrefix="0" xfId="0">
      <alignment horizontal="center" vertical="center" wrapText="1"/>
    </xf>
    <xf numFmtId="0" fontId="36" fillId="14" borderId="2" applyAlignment="1" pivotButton="0" quotePrefix="0" xfId="0">
      <alignment horizontal="center" vertical="center" wrapText="1"/>
    </xf>
    <xf numFmtId="0" fontId="20" fillId="0" borderId="14" applyAlignment="1" pivotButton="0" quotePrefix="0" xfId="0">
      <alignment horizontal="left" vertical="center" wrapText="1"/>
    </xf>
    <xf numFmtId="0" fontId="25" fillId="0" borderId="12" applyAlignment="1" pivotButton="0" quotePrefix="0" xfId="0">
      <alignment vertical="center"/>
    </xf>
    <xf numFmtId="0" fontId="29" fillId="11" borderId="5" applyAlignment="1" pivotButton="0" quotePrefix="0" xfId="0">
      <alignment horizontal="center" vertical="center" wrapText="1"/>
    </xf>
    <xf numFmtId="0" fontId="29" fillId="0" borderId="0" applyAlignment="1" pivotButton="0" quotePrefix="0" xfId="0">
      <alignment horizontal="center" vertical="center" wrapText="1"/>
    </xf>
    <xf numFmtId="0" fontId="23" fillId="0" borderId="5" applyAlignment="1" pivotButton="0" quotePrefix="0" xfId="0">
      <alignment horizontal="center" vertical="center" wrapText="1"/>
    </xf>
    <xf numFmtId="0" fontId="23" fillId="0" borderId="27" applyAlignment="1" pivotButton="0" quotePrefix="0" xfId="0">
      <alignment horizontal="center" vertical="center" wrapText="1"/>
    </xf>
    <xf numFmtId="0" fontId="37" fillId="15" borderId="28" applyAlignment="1" pivotButton="0" quotePrefix="0" xfId="0">
      <alignment horizontal="center" vertical="center" wrapText="1"/>
    </xf>
    <xf numFmtId="0" fontId="37" fillId="8" borderId="28" applyAlignment="1" pivotButton="0" quotePrefix="0" xfId="0">
      <alignment horizontal="center" vertical="center" wrapText="1"/>
    </xf>
    <xf numFmtId="0" fontId="37" fillId="9" borderId="28" applyAlignment="1" pivotButton="0" quotePrefix="0" xfId="0">
      <alignment horizontal="center" vertical="center" wrapText="1"/>
    </xf>
    <xf numFmtId="0" fontId="23" fillId="0" borderId="26" applyAlignment="1" pivotButton="0" quotePrefix="0" xfId="0">
      <alignment horizontal="center" vertical="center" wrapText="1"/>
    </xf>
    <xf numFmtId="0" fontId="29" fillId="0" borderId="22" applyAlignment="1" pivotButton="0" quotePrefix="0" xfId="0">
      <alignment horizontal="center" vertical="center" wrapText="1"/>
    </xf>
    <xf numFmtId="0" fontId="25" fillId="0" borderId="17" applyAlignment="1" pivotButton="0" quotePrefix="0" xfId="0">
      <alignment vertical="center"/>
    </xf>
    <xf numFmtId="9" fontId="9" fillId="0" borderId="1" applyAlignment="1" pivotButton="0" quotePrefix="0" xfId="2">
      <alignment horizontal="center" vertical="center" wrapText="1"/>
    </xf>
    <xf numFmtId="0" fontId="9" fillId="0" borderId="1" applyAlignment="1" pivotButton="0" quotePrefix="0" xfId="0">
      <alignment horizontal="center" vertical="center" wrapText="1"/>
    </xf>
    <xf numFmtId="0" fontId="4" fillId="0" borderId="0" applyAlignment="1" applyProtection="1" pivotButton="0" quotePrefix="0" xfId="0">
      <alignment horizontal="center" vertical="center" wrapText="1"/>
      <protection locked="0" hidden="0"/>
    </xf>
    <xf numFmtId="0" fontId="14" fillId="17" borderId="1" applyAlignment="1" pivotButton="0" quotePrefix="0" xfId="0">
      <alignment horizontal="left" vertical="center" wrapText="1"/>
    </xf>
    <xf numFmtId="0" fontId="13" fillId="17" borderId="1" applyAlignment="1" pivotButton="0" quotePrefix="0" xfId="0">
      <alignment horizontal="left" vertical="center" wrapText="1"/>
    </xf>
    <xf numFmtId="165" fontId="46" fillId="2" borderId="1" applyAlignment="1" pivotButton="0" quotePrefix="0" xfId="0">
      <alignment horizontal="center" vertical="center" wrapText="1"/>
    </xf>
    <xf numFmtId="0" fontId="56" fillId="0" borderId="1" applyAlignment="1" pivotButton="0" quotePrefix="0" xfId="0">
      <alignment horizontal="left" vertical="center"/>
    </xf>
    <xf numFmtId="0" fontId="56" fillId="0" borderId="1" applyAlignment="1" pivotButton="0" quotePrefix="0" xfId="0">
      <alignment horizontal="center" vertical="center" wrapText="1"/>
    </xf>
    <xf numFmtId="0" fontId="57" fillId="0" borderId="1" applyAlignment="1" pivotButton="0" quotePrefix="0" xfId="0">
      <alignment vertical="center" wrapText="1"/>
    </xf>
    <xf numFmtId="0" fontId="57" fillId="0" borderId="1" applyAlignment="1" pivotButton="0" quotePrefix="0" xfId="0">
      <alignment horizontal="center" vertical="center" wrapText="1"/>
    </xf>
    <xf numFmtId="166" fontId="57" fillId="0" borderId="4" applyAlignment="1" pivotButton="0" quotePrefix="1" xfId="9">
      <alignment horizontal="left" vertical="center"/>
    </xf>
    <xf numFmtId="167" fontId="57" fillId="0" borderId="1" applyAlignment="1" pivotButton="0" quotePrefix="0" xfId="6">
      <alignment horizontal="center" vertical="center"/>
    </xf>
    <xf numFmtId="0" fontId="56" fillId="0" borderId="1" applyAlignment="1" pivotButton="0" quotePrefix="0" xfId="0">
      <alignment horizontal="left" vertical="center" wrapText="1"/>
    </xf>
    <xf numFmtId="0" fontId="53" fillId="19" borderId="1" applyAlignment="1" pivotButton="0" quotePrefix="0" xfId="0">
      <alignment horizontal="center" vertical="center"/>
    </xf>
    <xf numFmtId="168" fontId="53" fillId="18" borderId="1" applyAlignment="1" pivotButton="0" quotePrefix="0" xfId="0">
      <alignment horizontal="center" vertical="center"/>
    </xf>
    <xf numFmtId="0" fontId="54" fillId="0" borderId="0" applyAlignment="1" pivotButton="0" quotePrefix="0" xfId="0">
      <alignment horizontal="center" vertical="center" wrapText="1"/>
    </xf>
    <xf numFmtId="0" fontId="54" fillId="0" borderId="0" applyAlignment="1" pivotButton="0" quotePrefix="0" xfId="0">
      <alignment vertical="center" wrapText="1"/>
    </xf>
    <xf numFmtId="0" fontId="54" fillId="0" borderId="0" applyAlignment="1" pivotButton="0" quotePrefix="0" xfId="0">
      <alignment horizontal="left" vertical="center"/>
    </xf>
    <xf numFmtId="0" fontId="54" fillId="0" borderId="0" applyAlignment="1" pivotButton="0" quotePrefix="0" xfId="0">
      <alignment vertical="center"/>
    </xf>
    <xf numFmtId="0" fontId="53" fillId="0" borderId="0" applyAlignment="1" pivotButton="0" quotePrefix="0" xfId="0">
      <alignment vertical="center" wrapText="1"/>
    </xf>
    <xf numFmtId="0" fontId="53" fillId="0" borderId="0" applyAlignment="1" pivotButton="0" quotePrefix="0" xfId="0">
      <alignment horizontal="right" vertical="center" wrapText="1"/>
    </xf>
    <xf numFmtId="0" fontId="60" fillId="0" borderId="0" applyAlignment="1" pivotButton="0" quotePrefix="0" xfId="0">
      <alignment vertical="center"/>
    </xf>
    <xf numFmtId="3" fontId="0" fillId="0" borderId="0" applyAlignment="1" pivotButton="0" quotePrefix="0" xfId="0">
      <alignment vertical="center"/>
    </xf>
    <xf numFmtId="167" fontId="61" fillId="0" borderId="24" applyAlignment="1" pivotButton="0" quotePrefix="1" xfId="6">
      <alignment horizontal="right" vertical="center"/>
    </xf>
    <xf numFmtId="0" fontId="57" fillId="0" borderId="1" applyAlignment="1" pivotButton="0" quotePrefix="0" xfId="0">
      <alignment horizontal="left" vertical="center"/>
    </xf>
    <xf numFmtId="0" fontId="10" fillId="2" borderId="1" applyAlignment="1" applyProtection="1" pivotButton="0" quotePrefix="0" xfId="0">
      <alignment horizontal="center" vertical="center" wrapText="1"/>
      <protection locked="0" hidden="0"/>
    </xf>
    <xf numFmtId="165" fontId="10" fillId="2" borderId="1" applyAlignment="1" applyProtection="1" pivotButton="0" quotePrefix="0" xfId="0">
      <alignment horizontal="center" vertical="center"/>
      <protection locked="0" hidden="0"/>
    </xf>
    <xf numFmtId="0" fontId="1" fillId="0" borderId="0" applyAlignment="1" applyProtection="1" pivotButton="0" quotePrefix="0" xfId="0">
      <alignment horizontal="left" vertical="center"/>
      <protection locked="0" hidden="0"/>
    </xf>
    <xf numFmtId="0" fontId="1" fillId="0" borderId="0" applyAlignment="1" pivotButton="0" quotePrefix="0" xfId="0">
      <alignment horizontal="left" vertical="center"/>
    </xf>
    <xf numFmtId="0" fontId="1" fillId="0" borderId="0" applyAlignment="1" applyProtection="1" pivotButton="0" quotePrefix="0" xfId="0">
      <alignment horizontal="center" wrapText="1"/>
      <protection locked="0" hidden="0"/>
    </xf>
    <xf numFmtId="0" fontId="5" fillId="3" borderId="1" applyAlignment="1" applyProtection="1" pivotButton="0" quotePrefix="0" xfId="0">
      <alignment horizontal="center" vertical="center" wrapText="1"/>
      <protection locked="0" hidden="0"/>
    </xf>
    <xf numFmtId="0" fontId="53" fillId="0" borderId="0" applyAlignment="1" pivotButton="0" quotePrefix="0" xfId="0">
      <alignment horizontal="center" vertical="center"/>
    </xf>
    <xf numFmtId="0" fontId="57" fillId="0" borderId="1" applyAlignment="1" pivotButton="0" quotePrefix="0" xfId="8">
      <alignment horizontal="left" vertical="center" wrapText="1"/>
    </xf>
    <xf numFmtId="0" fontId="57" fillId="0" borderId="1" applyAlignment="1" pivotButton="0" quotePrefix="0" xfId="0">
      <alignment horizontal="left" vertical="center"/>
    </xf>
    <xf numFmtId="0" fontId="53" fillId="18" borderId="32" applyAlignment="1" pivotButton="0" quotePrefix="0" xfId="0">
      <alignment horizontal="center" vertical="center"/>
    </xf>
    <xf numFmtId="0" fontId="53" fillId="18" borderId="41" applyAlignment="1" pivotButton="0" quotePrefix="0" xfId="0">
      <alignment horizontal="center" vertical="center"/>
    </xf>
    <xf numFmtId="0" fontId="53" fillId="19" borderId="24" applyAlignment="1" pivotButton="0" quotePrefix="0" xfId="0">
      <alignment horizontal="center" vertical="center"/>
    </xf>
    <xf numFmtId="0" fontId="53" fillId="19" borderId="3" applyAlignment="1" pivotButton="0" quotePrefix="0" xfId="0">
      <alignment horizontal="center" vertical="center"/>
    </xf>
    <xf numFmtId="0" fontId="53" fillId="19" borderId="4" applyAlignment="1" pivotButton="0" quotePrefix="0" xfId="0">
      <alignment horizontal="center" vertical="center"/>
    </xf>
    <xf numFmtId="0" fontId="58" fillId="19" borderId="1" applyAlignment="1" pivotButton="0" quotePrefix="0" xfId="0">
      <alignment horizontal="center" vertical="center"/>
    </xf>
    <xf numFmtId="9" fontId="59" fillId="18" borderId="3" applyAlignment="1" pivotButton="0" quotePrefix="0" xfId="0">
      <alignment horizontal="center" vertical="center"/>
    </xf>
    <xf numFmtId="9" fontId="59" fillId="18" borderId="4" applyAlignment="1" pivotButton="0" quotePrefix="0" xfId="0">
      <alignment horizontal="center" vertical="center"/>
    </xf>
    <xf numFmtId="169" fontId="53" fillId="18" borderId="1" applyAlignment="1" pivotButton="0" quotePrefix="1" xfId="0">
      <alignment horizontal="center" vertical="center"/>
    </xf>
    <xf numFmtId="0" fontId="52" fillId="0" borderId="1" applyAlignment="1" pivotButton="0" quotePrefix="0" xfId="0">
      <alignment horizontal="center" vertical="center"/>
    </xf>
    <xf numFmtId="0" fontId="56" fillId="0" borderId="1" applyAlignment="1" pivotButton="0" quotePrefix="0" xfId="0">
      <alignment horizontal="center" vertical="center"/>
    </xf>
    <xf numFmtId="9" fontId="56" fillId="0" borderId="1" applyAlignment="1" pivotButton="0" quotePrefix="1" xfId="2">
      <alignment horizontal="center" vertical="center"/>
    </xf>
    <xf numFmtId="0" fontId="56" fillId="0" borderId="1" applyAlignment="1" pivotButton="0" quotePrefix="0" xfId="0">
      <alignment horizontal="left" vertical="center"/>
    </xf>
    <xf numFmtId="0" fontId="62" fillId="0" borderId="1" applyAlignment="1" pivotButton="0" quotePrefix="1" xfId="5">
      <alignment horizontal="left" vertical="center" wrapText="1"/>
    </xf>
    <xf numFmtId="0" fontId="63" fillId="0" borderId="1" applyAlignment="1" pivotButton="0" quotePrefix="0" xfId="8">
      <alignment horizontal="left" vertical="center" wrapText="1"/>
    </xf>
    <xf numFmtId="0" fontId="57" fillId="0" borderId="1" applyAlignment="1" pivotButton="0" quotePrefix="0" xfId="0">
      <alignment horizontal="left" vertical="center" wrapText="1"/>
    </xf>
    <xf numFmtId="0" fontId="57" fillId="0" borderId="1" applyAlignment="1" pivotButton="0" quotePrefix="1" xfId="8">
      <alignment horizontal="left" vertical="center" wrapText="1"/>
    </xf>
    <xf numFmtId="0" fontId="62" fillId="0" borderId="1" applyAlignment="1" pivotButton="0" quotePrefix="0" xfId="5">
      <alignment horizontal="left" vertical="center" wrapText="1"/>
    </xf>
    <xf numFmtId="0" fontId="46" fillId="16" borderId="38" applyAlignment="1" pivotButton="0" quotePrefix="0" xfId="0">
      <alignment horizontal="center" vertical="center"/>
    </xf>
    <xf numFmtId="0" fontId="46" fillId="16" borderId="1" applyAlignment="1" pivotButton="0" quotePrefix="0" xfId="0">
      <alignment horizontal="center" vertical="center"/>
    </xf>
    <xf numFmtId="0" fontId="43" fillId="0" borderId="0" applyAlignment="1" pivotButton="0" quotePrefix="0" xfId="0">
      <alignment horizontal="left"/>
    </xf>
    <xf numFmtId="0" fontId="44" fillId="0" borderId="0" applyAlignment="1" pivotButton="0" quotePrefix="0" xfId="0">
      <alignment horizontal="left"/>
    </xf>
    <xf numFmtId="0" fontId="46" fillId="16" borderId="32" applyAlignment="1" pivotButton="0" quotePrefix="0" xfId="0">
      <alignment horizontal="center" vertical="center"/>
    </xf>
    <xf numFmtId="0" fontId="46" fillId="16" borderId="39" applyAlignment="1" pivotButton="0" quotePrefix="0" xfId="0">
      <alignment horizontal="center" vertical="center"/>
    </xf>
    <xf numFmtId="0" fontId="36" fillId="14" borderId="21" applyAlignment="1" pivotButton="0" quotePrefix="0" xfId="0">
      <alignment horizontal="center" vertical="center" wrapText="1"/>
    </xf>
    <xf numFmtId="0" fontId="36" fillId="14" borderId="19" applyAlignment="1" pivotButton="0" quotePrefix="0" xfId="0">
      <alignment horizontal="center" vertical="center" wrapText="1"/>
    </xf>
    <xf numFmtId="0" fontId="36" fillId="14" borderId="5" applyAlignment="1" pivotButton="0" quotePrefix="0" xfId="0">
      <alignment horizontal="center" vertical="center" wrapText="1"/>
    </xf>
    <xf numFmtId="0" fontId="31" fillId="12" borderId="7" applyAlignment="1" pivotButton="0" quotePrefix="0" xfId="0">
      <alignment horizontal="center" vertical="center"/>
    </xf>
    <xf numFmtId="0" fontId="31" fillId="12" borderId="8" applyAlignment="1" pivotButton="0" quotePrefix="0" xfId="0">
      <alignment horizontal="center" vertical="center"/>
    </xf>
    <xf numFmtId="0" fontId="31" fillId="12" borderId="9" applyAlignment="1" pivotButton="0" quotePrefix="0" xfId="0">
      <alignment horizontal="center" vertical="center"/>
    </xf>
    <xf numFmtId="0" fontId="25" fillId="0" borderId="13" applyAlignment="1" pivotButton="0" quotePrefix="0" xfId="0">
      <alignment horizontal="center" vertical="center"/>
    </xf>
    <xf numFmtId="0" fontId="25" fillId="0" borderId="15" applyAlignment="1" pivotButton="0" quotePrefix="0" xfId="0">
      <alignment horizontal="center" vertical="center"/>
    </xf>
    <xf numFmtId="0" fontId="25" fillId="0" borderId="25" applyAlignment="1" pivotButton="0" quotePrefix="0" xfId="0">
      <alignment horizontal="center" vertical="center"/>
    </xf>
    <xf numFmtId="0" fontId="37" fillId="15" borderId="29" applyAlignment="1" pivotButton="0" quotePrefix="0" xfId="0">
      <alignment horizontal="center" vertical="center" wrapText="1"/>
    </xf>
    <xf numFmtId="0" fontId="37" fillId="15" borderId="30" applyAlignment="1" pivotButton="0" quotePrefix="0" xfId="0">
      <alignment horizontal="center" vertical="center" wrapText="1"/>
    </xf>
    <xf numFmtId="0" fontId="25" fillId="0" borderId="16" applyAlignment="1" pivotButton="0" quotePrefix="0" xfId="0">
      <alignment horizontal="center" vertical="center"/>
    </xf>
    <xf numFmtId="0" fontId="30" fillId="0" borderId="24" applyAlignment="1" pivotButton="0" quotePrefix="0" xfId="0">
      <alignment horizontal="left" vertical="center" wrapText="1"/>
    </xf>
    <xf numFmtId="0" fontId="30" fillId="0" borderId="3" applyAlignment="1" pivotButton="0" quotePrefix="0" xfId="0">
      <alignment horizontal="left" vertical="center" wrapText="1"/>
    </xf>
    <xf numFmtId="0" fontId="25" fillId="0" borderId="10" applyAlignment="1" pivotButton="0" quotePrefix="0" xfId="0">
      <alignment horizontal="center" vertical="center"/>
    </xf>
    <xf numFmtId="0" fontId="36" fillId="14" borderId="18" applyAlignment="1" pivotButton="0" quotePrefix="0" xfId="0">
      <alignment horizontal="center" vertical="center" wrapText="1"/>
    </xf>
    <xf numFmtId="0" fontId="36" fillId="14" borderId="20" applyAlignment="1" pivotButton="0" quotePrefix="0" xfId="0">
      <alignment horizontal="center" vertical="center" wrapText="1"/>
    </xf>
    <xf numFmtId="0" fontId="37" fillId="15" borderId="18" applyAlignment="1" pivotButton="0" quotePrefix="0" xfId="0">
      <alignment horizontal="center" vertical="center" wrapText="1"/>
    </xf>
    <xf numFmtId="0" fontId="37" fillId="15" borderId="19" applyAlignment="1" pivotButton="0" quotePrefix="0" xfId="0">
      <alignment horizontal="center" vertical="center" wrapText="1"/>
    </xf>
    <xf numFmtId="0" fontId="37" fillId="15" borderId="2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4" pivotButton="0" quotePrefix="0" xfId="0"/>
    <xf numFmtId="167" fontId="61" fillId="0" borderId="24" applyAlignment="1" pivotButton="0" quotePrefix="1" xfId="6">
      <alignment horizontal="right" vertical="center"/>
    </xf>
    <xf numFmtId="166" fontId="57" fillId="0" borderId="4" applyAlignment="1" pivotButton="0" quotePrefix="1" xfId="9">
      <alignment horizontal="left" vertical="center"/>
    </xf>
    <xf numFmtId="0" fontId="0" fillId="0" borderId="44" pivotButton="0" quotePrefix="0" xfId="0"/>
    <xf numFmtId="167" fontId="57" fillId="0" borderId="1" applyAlignment="1" pivotButton="0" quotePrefix="0" xfId="6">
      <alignment horizontal="center" vertical="center"/>
    </xf>
    <xf numFmtId="0" fontId="0" fillId="0" borderId="39" pivotButton="0" quotePrefix="0" xfId="0"/>
    <xf numFmtId="0" fontId="53" fillId="18" borderId="1" applyAlignment="1" pivotButton="0" quotePrefix="0" xfId="0">
      <alignment horizontal="center" vertical="center"/>
    </xf>
    <xf numFmtId="0" fontId="53" fillId="19" borderId="45" applyAlignment="1" pivotButton="0" quotePrefix="0" xfId="0">
      <alignment horizontal="center" vertical="center"/>
    </xf>
    <xf numFmtId="0" fontId="0" fillId="0" borderId="46" pivotButton="0" quotePrefix="0" xfId="0"/>
    <xf numFmtId="0" fontId="0" fillId="0" borderId="47" pivotButton="0" quotePrefix="0" xfId="0"/>
    <xf numFmtId="168" fontId="53" fillId="18" borderId="1" applyAlignment="1" pivotButton="0" quotePrefix="0" xfId="0">
      <alignment horizontal="center" vertical="center"/>
    </xf>
    <xf numFmtId="169" fontId="53" fillId="18" borderId="1" applyAlignment="1" pivotButton="0" quotePrefix="1" xfId="0">
      <alignment horizontal="center" vertical="center"/>
    </xf>
    <xf numFmtId="165" fontId="46" fillId="2" borderId="1" applyAlignment="1" pivotButton="0" quotePrefix="0" xfId="0">
      <alignment horizontal="center" vertical="center" wrapText="1"/>
    </xf>
    <xf numFmtId="165" fontId="10" fillId="2" borderId="1"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164" fontId="42" fillId="12" borderId="35" applyAlignment="1" pivotButton="0" quotePrefix="0" xfId="4">
      <alignment vertical="center"/>
    </xf>
    <xf numFmtId="0" fontId="14" fillId="2" borderId="1" applyAlignment="1" applyProtection="1" pivotButton="0" quotePrefix="0" xfId="0">
      <alignment horizontal="left" vertical="top" wrapText="1"/>
      <protection locked="0" hidden="0"/>
    </xf>
    <xf numFmtId="0" fontId="31" fillId="12" borderId="49" applyAlignment="1" pivotButton="0" quotePrefix="0" xfId="0">
      <alignment horizontal="center" vertical="center"/>
    </xf>
    <xf numFmtId="0" fontId="0" fillId="0" borderId="8" pivotButton="0" quotePrefix="0" xfId="0"/>
    <xf numFmtId="0" fontId="0" fillId="0" borderId="9" pivotButton="0" quotePrefix="0" xfId="0"/>
    <xf numFmtId="0" fontId="0" fillId="0" borderId="15" pivotButton="0" quotePrefix="0" xfId="0"/>
    <xf numFmtId="0" fontId="0" fillId="0" borderId="16" pivotButton="0" quotePrefix="0" xfId="0"/>
    <xf numFmtId="0" fontId="36" fillId="14" borderId="53" applyAlignment="1" pivotButton="0" quotePrefix="0" xfId="0">
      <alignment horizontal="center" vertical="center" wrapText="1"/>
    </xf>
    <xf numFmtId="0" fontId="0" fillId="0" borderId="19" pivotButton="0" quotePrefix="0" xfId="0"/>
    <xf numFmtId="0" fontId="0" fillId="0" borderId="20" pivotButton="0" quotePrefix="0" xfId="0"/>
    <xf numFmtId="0" fontId="37" fillId="15" borderId="53" applyAlignment="1" pivotButton="0" quotePrefix="0" xfId="0">
      <alignment horizontal="center" vertical="center" wrapText="1"/>
    </xf>
    <xf numFmtId="0" fontId="25" fillId="0" borderId="36" applyAlignment="1" pivotButton="0" quotePrefix="0" xfId="0">
      <alignment horizontal="center" vertical="center"/>
    </xf>
    <xf numFmtId="0" fontId="0" fillId="0" borderId="5" pivotButton="0" quotePrefix="0" xfId="0"/>
    <xf numFmtId="0" fontId="0" fillId="0" borderId="25" pivotButton="0" quotePrefix="0" xfId="0"/>
    <xf numFmtId="0" fontId="0" fillId="0" borderId="29" pivotButton="0" quotePrefix="0" xfId="0"/>
    <xf numFmtId="0" fontId="0" fillId="0" borderId="30" pivotButton="0" quotePrefix="0" xfId="0"/>
    <xf numFmtId="164" fontId="0" fillId="0" borderId="0" applyAlignment="1" pivotButton="0" quotePrefix="0" xfId="4">
      <alignment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cellXfs>
  <cellStyles count="10">
    <cellStyle name="Normal" xfId="0" builtinId="0"/>
    <cellStyle name="표준 2" xfId="1"/>
    <cellStyle name="Percent" xfId="2" builtinId="5"/>
    <cellStyle name="표준 8" xfId="3"/>
    <cellStyle name="Comma [0]" xfId="4" builtinId="6"/>
    <cellStyle name="Hyperlink" xfId="5" builtinId="8"/>
    <cellStyle name="Comma" xfId="6" builtinId="3"/>
    <cellStyle name="Hyperlink 2" xfId="7"/>
    <cellStyle name="Normal 2" xfId="8"/>
    <cellStyle name="Currency 2" xfId="9"/>
  </cellStyles>
  <dxfs count="7">
    <dxf>
      <fill>
        <patternFill>
          <bgColor theme="0" tint="-0.499984740745262"/>
        </patternFill>
      </fill>
    </dxf>
    <dxf>
      <fill>
        <patternFill>
          <bgColor theme="2" tint="-0.249946592608417"/>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
        </patternFill>
      </fill>
    </dxf>
    <dxf>
      <fill>
        <patternFill>
          <bgColor rgb="FFFFFF0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Patrick Neyts</author>
  </authors>
  <commentList>
    <comment ref="D5" authorId="0" shapeId="0">
      <text>
        <t>If a change is made from the initial rating then please provide justification as per the guidance in the instructions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1061357</colOff>
      <row>0</row>
      <rowOff>81643</rowOff>
    </from>
    <to>
      <col>7</col>
      <colOff>1265782</colOff>
      <row>0</row>
      <rowOff>605944</rowOff>
    </to>
    <pic>
      <nvPicPr>
        <cNvPr id="3" name="Picture 2"/>
        <cNvPicPr>
          <a:picLocks noChangeAspect="1"/>
        </cNvPicPr>
      </nvPicPr>
      <blipFill>
        <a:blip r:embed="rId1"/>
        <a:stretch>
          <a:fillRect/>
        </a:stretch>
      </blipFill>
      <spPr>
        <a:xfrm>
          <a:off x="10980964" y="81643"/>
          <a:ext cx="1714818" cy="52430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51216;&#44160;&#47588;&#45684;&#50620;/24&#45380;/&#52404;&#53356;&#47532;&#49828;&#53944;/&#9733;%20230118%20Unified%20Report%20form%20for%20supplier%203rd%20party%20audit_Final.xlsb" TargetMode="External" Id="rId1" /></Relationships>
</file>

<file path=xl/externalLinks/_rels/externalLink2.xml.rels><Relationships xmlns="http://schemas.openxmlformats.org/package/2006/relationships"><Relationship Type="http://schemas.openxmlformats.org/officeDocument/2006/relationships/externalLinkPath" Target="file:///C:\Users\vuthu.trang\AppData\Roaming\mySingleDesktopMessage\Temp\49bf75e2-3f83-4d1c-a531-ae1b3d56805b\2025.10.28_KCI_HR%20closure%20audit%20result%20report%20in%202H.20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
  <sheetViews>
    <sheetView showGridLines="0" view="pageBreakPreview" zoomScale="50" zoomScaleNormal="50" zoomScaleSheetLayoutView="50" workbookViewId="0">
      <selection activeCell="F11" sqref="F11"/>
    </sheetView>
  </sheetViews>
  <sheetFormatPr baseColWidth="8" defaultRowHeight="14.4"/>
  <cols>
    <col width="22.5546875" customWidth="1" style="191" min="1" max="1"/>
    <col width="19.6640625" customWidth="1" style="191" min="2" max="2"/>
    <col width="19.109375" customWidth="1" style="191" min="3" max="5"/>
    <col width="48.88671875" customWidth="1" style="191" min="6" max="6"/>
    <col width="22.5546875" customWidth="1" style="191" min="7" max="7"/>
    <col width="20.5546875" customWidth="1" style="191" min="8" max="8"/>
    <col width="27.88671875" customWidth="1" style="191" min="12" max="12"/>
  </cols>
  <sheetData>
    <row r="1" ht="103.2" customHeight="1" s="191">
      <c r="A1" s="156" t="inlineStr">
        <is>
          <t>COMPANY PROFILE</t>
        </is>
      </c>
      <c r="B1" s="192" t="n"/>
      <c r="C1" s="192" t="n"/>
      <c r="D1" s="192" t="n"/>
      <c r="E1" s="192" t="n"/>
      <c r="F1" s="192" t="n"/>
      <c r="G1" s="192" t="n"/>
      <c r="H1" s="193" t="n"/>
    </row>
    <row r="2" ht="74.40000000000001" customHeight="1" s="191">
      <c r="A2" s="159" t="inlineStr">
        <is>
          <t>Company</t>
        </is>
      </c>
      <c r="B2" s="157" t="n"/>
      <c r="C2" s="192" t="n"/>
      <c r="D2" s="192" t="n"/>
      <c r="E2" s="193" t="n"/>
      <c r="F2" s="120" t="inlineStr">
        <is>
          <t>Percentage of dealing with SEV/T in 2025</t>
        </is>
      </c>
      <c r="G2" s="158" t="n"/>
      <c r="H2" s="193" t="n"/>
      <c r="L2" s="135" t="n"/>
    </row>
    <row r="3" ht="45" customHeight="1" s="191">
      <c r="A3" s="159" t="inlineStr">
        <is>
          <t>CEO</t>
        </is>
      </c>
      <c r="B3" s="121" t="inlineStr">
        <is>
          <t>Full name</t>
        </is>
      </c>
      <c r="C3" s="145" t="n"/>
      <c r="D3" s="192" t="n"/>
      <c r="E3" s="193" t="n"/>
      <c r="F3" s="122" t="inlineStr">
        <is>
          <t>Total Sales amount in 2025</t>
        </is>
      </c>
      <c r="G3" s="194" t="n"/>
      <c r="H3" s="195" t="inlineStr">
        <is>
          <t>USD</t>
        </is>
      </c>
      <c r="L3" s="135" t="n"/>
    </row>
    <row r="4" ht="45" customHeight="1" s="191">
      <c r="A4" s="196" t="n"/>
      <c r="B4" s="121" t="inlineStr">
        <is>
          <t>Email</t>
        </is>
      </c>
      <c r="C4" s="160" t="n"/>
      <c r="D4" s="192" t="n"/>
      <c r="E4" s="193" t="n"/>
      <c r="F4" s="162" t="inlineStr">
        <is>
          <t>Manpower</t>
        </is>
      </c>
      <c r="G4" s="146" t="inlineStr">
        <is>
          <t>Product:</t>
        </is>
      </c>
      <c r="H4" s="197" t="n"/>
      <c r="L4" s="135" t="n"/>
    </row>
    <row r="5" ht="45" customHeight="1" s="191">
      <c r="A5" s="198" t="n"/>
      <c r="B5" s="121" t="inlineStr">
        <is>
          <t xml:space="preserve">Handphone </t>
        </is>
      </c>
      <c r="C5" s="163" t="n"/>
      <c r="D5" s="192" t="n"/>
      <c r="E5" s="193" t="n"/>
      <c r="F5" s="198" t="n"/>
      <c r="G5" s="146" t="inlineStr">
        <is>
          <t xml:space="preserve">Office: </t>
        </is>
      </c>
      <c r="H5" s="197" t="n"/>
    </row>
    <row r="6" ht="45" customHeight="1" s="191">
      <c r="A6" s="159" t="inlineStr">
        <is>
          <t>HR Manager</t>
        </is>
      </c>
      <c r="B6" s="121" t="inlineStr">
        <is>
          <t>Full name</t>
        </is>
      </c>
      <c r="C6" s="145" t="n"/>
      <c r="D6" s="192" t="n"/>
      <c r="E6" s="193" t="n"/>
      <c r="F6" s="162" t="inlineStr">
        <is>
          <t xml:space="preserve">
Constitution of workers
</t>
        </is>
      </c>
      <c r="G6" s="146" t="inlineStr">
        <is>
          <t>Regular:</t>
        </is>
      </c>
      <c r="H6" s="197" t="n"/>
    </row>
    <row r="7" ht="45" customHeight="1" s="191">
      <c r="A7" s="196" t="n"/>
      <c r="B7" s="121" t="inlineStr">
        <is>
          <t xml:space="preserve">Email </t>
        </is>
      </c>
      <c r="C7" s="164" t="n"/>
      <c r="D7" s="192" t="n"/>
      <c r="E7" s="193" t="n"/>
      <c r="F7" s="198" t="n"/>
      <c r="G7" s="146" t="inlineStr">
        <is>
          <t xml:space="preserve">Outsourced: </t>
        </is>
      </c>
      <c r="H7" s="197" t="n"/>
    </row>
    <row r="8" ht="45" customHeight="1" s="191">
      <c r="A8" s="198" t="n"/>
      <c r="B8" s="121" t="inlineStr">
        <is>
          <t xml:space="preserve">Handphone </t>
        </is>
      </c>
      <c r="C8" s="163" t="n"/>
      <c r="D8" s="192" t="n"/>
      <c r="E8" s="193" t="n"/>
      <c r="F8" s="146" t="inlineStr">
        <is>
          <t>Investor</t>
        </is>
      </c>
      <c r="G8" s="146" t="n"/>
      <c r="H8" s="193" t="n"/>
    </row>
    <row r="9" ht="45" customHeight="1" s="191">
      <c r="A9" s="125" t="inlineStr">
        <is>
          <t>Location</t>
        </is>
      </c>
      <c r="B9" s="145" t="n"/>
      <c r="C9" s="192" t="n"/>
      <c r="D9" s="192" t="n"/>
      <c r="E9" s="193" t="n"/>
      <c r="F9" s="146" t="inlineStr">
        <is>
          <t>Product</t>
        </is>
      </c>
      <c r="G9" s="146" t="n"/>
      <c r="H9" s="193" t="n"/>
    </row>
    <row r="10" ht="35.25" customHeight="1" s="191">
      <c r="A10" s="199" t="inlineStr">
        <is>
          <t>Result</t>
        </is>
      </c>
      <c r="B10" s="200" t="inlineStr">
        <is>
          <t>Conformance rate:</t>
        </is>
      </c>
      <c r="C10" s="201" t="n"/>
      <c r="D10" s="201" t="n"/>
      <c r="E10" s="202" t="n"/>
      <c r="F10" s="126" t="inlineStr">
        <is>
          <t>Interview Score</t>
        </is>
      </c>
      <c r="G10" s="152" t="inlineStr">
        <is>
          <t xml:space="preserve">Audit Date:  </t>
        </is>
      </c>
      <c r="H10" s="193" t="n"/>
    </row>
    <row r="11" ht="35.25" customHeight="1" s="191">
      <c r="A11" s="198" t="n"/>
      <c r="B11" s="154">
        <f>Checklist!J1</f>
        <v/>
      </c>
      <c r="C11" s="192" t="n"/>
      <c r="D11" s="192" t="n"/>
      <c r="E11" s="193" t="n"/>
      <c r="F11" s="203" t="n"/>
      <c r="G11" s="204">
        <f>Checklist!D1</f>
        <v/>
      </c>
      <c r="H11" s="193" t="n"/>
    </row>
    <row r="12" ht="40.95" customHeight="1" s="191">
      <c r="A12" s="144" t="inlineStr">
        <is>
          <t>Samsung Viet Nam</t>
        </is>
      </c>
      <c r="F12" s="144" t="inlineStr">
        <is>
          <t>Supplier</t>
        </is>
      </c>
    </row>
    <row r="13" ht="40.95" customHeight="1" s="191">
      <c r="A13" s="128" t="n"/>
      <c r="B13" s="129" t="n"/>
      <c r="C13" s="129" t="n"/>
      <c r="D13" s="129" t="n"/>
      <c r="E13" s="129" t="n"/>
      <c r="F13" s="130" t="n"/>
      <c r="G13" s="131" t="n"/>
      <c r="H13" s="131" t="n"/>
    </row>
    <row r="14" ht="31.2" customHeight="1" s="191">
      <c r="A14" s="128" t="n"/>
      <c r="B14" s="128" t="n"/>
      <c r="C14" s="128" t="n"/>
      <c r="D14" s="128" t="n"/>
      <c r="E14" s="128" t="n"/>
      <c r="F14" s="130" t="n"/>
      <c r="G14" s="130" t="n"/>
      <c r="H14" s="130" t="n"/>
    </row>
    <row r="15" ht="24.6" customHeight="1" s="191">
      <c r="A15" s="132" t="n"/>
      <c r="B15" s="133" t="inlineStr">
        <is>
          <t>Auditor:</t>
        </is>
      </c>
      <c r="C15" s="134">
        <f>'General Information'!D6</f>
        <v/>
      </c>
      <c r="D15" s="132" t="n"/>
      <c r="E15" s="132" t="n"/>
      <c r="F15" s="144" t="inlineStr">
        <is>
          <t>Vendor' Representative</t>
        </is>
      </c>
    </row>
  </sheetData>
  <mergeCells count="24">
    <mergeCell ref="B9:E9"/>
    <mergeCell ref="G2:H2"/>
    <mergeCell ref="G11:H11"/>
    <mergeCell ref="A1:H1"/>
    <mergeCell ref="G8:H8"/>
    <mergeCell ref="G9:H9"/>
    <mergeCell ref="G10:H10"/>
    <mergeCell ref="C8:E8"/>
    <mergeCell ref="C7:E7"/>
    <mergeCell ref="A12:E12"/>
    <mergeCell ref="C3:E3"/>
    <mergeCell ref="B11:E11"/>
    <mergeCell ref="B2:E2"/>
    <mergeCell ref="A10:A11"/>
    <mergeCell ref="A6:A8"/>
    <mergeCell ref="C6:E6"/>
    <mergeCell ref="C5:E5"/>
    <mergeCell ref="F4:F5"/>
    <mergeCell ref="A3:A5"/>
    <mergeCell ref="C4:E4"/>
    <mergeCell ref="F12:H12"/>
    <mergeCell ref="B10:E10"/>
    <mergeCell ref="F15:H15"/>
    <mergeCell ref="F6:F7"/>
  </mergeCells>
  <printOptions horizontalCentered="1"/>
  <pageMargins left="0.5" right="0.5" top="0.5" bottom="0.5" header="0" footer="0"/>
  <pageSetup orientation="landscape" paperSize="9" scale="70"/>
  <drawing xmlns:r="http://schemas.openxmlformats.org/officeDocument/2006/relationships" r:id="rId1"/>
</worksheet>
</file>

<file path=xl/worksheets/sheet2.xml><?xml version="1.0" encoding="utf-8"?>
<worksheet xmlns="http://schemas.openxmlformats.org/spreadsheetml/2006/main">
  <sheetPr codeName="Sheet9">
    <tabColor rgb="FFFFFF00"/>
    <outlinePr summaryBelow="1" summaryRight="1"/>
    <pageSetUpPr/>
  </sheetPr>
  <dimension ref="B2:D31"/>
  <sheetViews>
    <sheetView showGridLines="0" zoomScale="85" zoomScaleNormal="85" workbookViewId="0">
      <selection activeCell="I20" sqref="I20"/>
    </sheetView>
  </sheetViews>
  <sheetFormatPr baseColWidth="8" defaultRowHeight="14.4"/>
  <cols>
    <col width="8.88671875" customWidth="1" style="191" min="1" max="1"/>
    <col width="27.33203125" bestFit="1" customWidth="1" style="191" min="2" max="2"/>
    <col width="56.33203125" customWidth="1" style="191" min="3" max="3"/>
    <col width="60.33203125" customWidth="1" style="191" min="4" max="4"/>
  </cols>
  <sheetData>
    <row r="2" ht="27" customFormat="1" customHeight="1" s="50">
      <c r="B2" s="167" t="inlineStr">
        <is>
          <t>General Information</t>
        </is>
      </c>
      <c r="D2" s="49" t="n"/>
    </row>
    <row r="3">
      <c r="B3" s="166" t="inlineStr">
        <is>
          <t>Supplier Name</t>
        </is>
      </c>
      <c r="C3" s="193" t="n"/>
      <c r="D3" s="51" t="n"/>
    </row>
    <row r="4">
      <c r="B4" s="166" t="inlineStr">
        <is>
          <t>Supplier Address</t>
        </is>
      </c>
      <c r="C4" s="193" t="n"/>
      <c r="D4" s="51" t="n"/>
    </row>
    <row r="5">
      <c r="B5" s="166" t="inlineStr">
        <is>
          <t>Audit Crieria / 심사기준</t>
        </is>
      </c>
      <c r="C5" s="193" t="n"/>
      <c r="D5" s="51" t="n"/>
    </row>
    <row r="6">
      <c r="B6" s="166" t="inlineStr">
        <is>
          <t>Team Leader / 심사팀장</t>
        </is>
      </c>
      <c r="C6" s="193" t="n"/>
      <c r="D6" s="51" t="n"/>
    </row>
    <row r="7">
      <c r="B7" s="166" t="inlineStr">
        <is>
          <t>Team Member / 심사원</t>
        </is>
      </c>
      <c r="C7" s="193" t="n"/>
      <c r="D7" s="51" t="n"/>
    </row>
    <row r="8">
      <c r="B8" s="166" t="inlineStr">
        <is>
          <t>Audit Type / 심사 형태</t>
        </is>
      </c>
      <c r="C8" s="193" t="n"/>
      <c r="D8" s="52" t="n"/>
    </row>
    <row r="9">
      <c r="B9" s="166" t="inlineStr">
        <is>
          <t>Starting Date of Initial Audit (YYYY-MM-DD) / 초기심사 시작일자(년월일)</t>
        </is>
      </c>
      <c r="C9" s="193" t="n"/>
      <c r="D9" s="205" t="n"/>
    </row>
    <row r="10">
      <c r="B10" s="166" t="inlineStr">
        <is>
          <t>Closing Date of Initial Audit (YYYY-MM-DD) / 초기심사 마지막일자(년월일)</t>
        </is>
      </c>
      <c r="C10" s="193" t="n"/>
      <c r="D10" s="205" t="n"/>
    </row>
    <row r="11">
      <c r="B11" s="166" t="inlineStr">
        <is>
          <t>Closing Date of Corrective Action Verification Audit (YYYY-MM-DD) / 확인심사 마지막일자(년월일)</t>
        </is>
      </c>
      <c r="C11" s="193" t="n"/>
      <c r="D11" s="205" t="n"/>
    </row>
    <row r="12">
      <c r="B12" s="166" t="inlineStr">
        <is>
          <t>Profile / 프로파일</t>
        </is>
      </c>
      <c r="C12" s="166" t="inlineStr">
        <is>
          <t>Main Process / 주요 활동</t>
        </is>
      </c>
      <c r="D12" s="51" t="n"/>
    </row>
    <row r="13" ht="15" customHeight="1" s="191" thickBot="1">
      <c r="B13" s="198" t="n"/>
      <c r="C13" s="169" t="inlineStr">
        <is>
          <t>Product / 생산제품</t>
        </is>
      </c>
      <c r="D13" s="55" t="n"/>
    </row>
    <row r="14" ht="15" customHeight="1" s="191" thickTop="1">
      <c r="B14" s="165" t="inlineStr">
        <is>
          <t>Contact Information / 담당자</t>
        </is>
      </c>
      <c r="C14" s="165" t="inlineStr">
        <is>
          <t>Name of Management Representative / 경영자 대리인 성명</t>
        </is>
      </c>
      <c r="D14" s="57" t="n"/>
    </row>
    <row r="15">
      <c r="B15" s="196" t="n"/>
      <c r="C15" s="166" t="inlineStr">
        <is>
          <t>Position of Management Representative / 경영자 대리인 직책</t>
        </is>
      </c>
      <c r="D15" s="51" t="n"/>
    </row>
    <row r="16">
      <c r="B16" s="196" t="n"/>
      <c r="C16" s="166" t="inlineStr">
        <is>
          <t>Main Contact / 주담당자명</t>
        </is>
      </c>
      <c r="D16" s="51" t="n"/>
    </row>
    <row r="17">
      <c r="B17" s="198" t="n"/>
      <c r="C17" s="166" t="inlineStr">
        <is>
          <t>Main Contact Position / 직책</t>
        </is>
      </c>
      <c r="D17" s="51" t="n"/>
    </row>
    <row r="18">
      <c r="B18" s="170" t="inlineStr">
        <is>
          <t>Worker Type / 근로자 형태</t>
        </is>
      </c>
      <c r="C18" s="170" t="inlineStr">
        <is>
          <t>Total Number of Workers / 총 근로자수</t>
        </is>
      </c>
      <c r="D18" s="59" t="n"/>
    </row>
    <row r="19">
      <c r="B19" s="196" t="n"/>
      <c r="C19" s="166" t="inlineStr">
        <is>
          <t>Permanent (Number) / 정규직</t>
        </is>
      </c>
      <c r="D19" s="51" t="n"/>
    </row>
    <row r="20">
      <c r="B20" s="196" t="n"/>
      <c r="C20" s="166" t="inlineStr">
        <is>
          <t>Temperary (Number)  / 비정규직</t>
        </is>
      </c>
      <c r="D20" s="51" t="n"/>
    </row>
    <row r="21">
      <c r="B21" s="196" t="n"/>
      <c r="C21" s="166" t="inlineStr">
        <is>
          <t>Foreign (Number)  / 외국인</t>
        </is>
      </c>
      <c r="D21" s="51" t="n"/>
    </row>
    <row r="22">
      <c r="B22" s="196" t="n"/>
      <c r="C22" s="166" t="inlineStr">
        <is>
          <t>Juvenile (Number) / 청소년</t>
        </is>
      </c>
      <c r="D22" s="51" t="n"/>
    </row>
    <row r="23">
      <c r="B23" s="196" t="n"/>
      <c r="C23" s="166" t="inlineStr">
        <is>
          <t>Child (Number) / 아동</t>
        </is>
      </c>
      <c r="D23" s="51" t="n"/>
    </row>
    <row r="24">
      <c r="B24" s="196" t="n"/>
      <c r="C24" s="166" t="inlineStr">
        <is>
          <t>Intern, Student, Apprentice (Number) / 인턴,학생,실습생</t>
        </is>
      </c>
      <c r="D24" s="51" t="n"/>
    </row>
    <row r="25" ht="43.5" customHeight="1" s="191">
      <c r="B25" s="198" t="n"/>
      <c r="C25" s="60" t="inlineStr">
        <is>
          <t>In-house Subcontracted Production
(Number, Actitivy, Name of Company) 
 / 사내 제조 임가공 (숫자, 활동, 회사명)</t>
        </is>
      </c>
      <c r="D25" s="51" t="n"/>
    </row>
    <row r="26">
      <c r="B26" s="166" t="inlineStr">
        <is>
          <t>Dormitory / 기숙사</t>
        </is>
      </c>
      <c r="C26" s="193" t="n"/>
      <c r="D26" s="51" t="n"/>
    </row>
    <row r="27">
      <c r="B27" s="166" t="inlineStr">
        <is>
          <t>Cafeteria / 식당</t>
        </is>
      </c>
      <c r="C27" s="193" t="n"/>
      <c r="D27" s="51" t="n"/>
    </row>
    <row r="28">
      <c r="B28" s="166" t="inlineStr">
        <is>
          <t>SA8000, ISO 14001, ISO 45001 (OHSAS18001), ISO 50001 Certification / 인증여부</t>
        </is>
      </c>
      <c r="C28" s="193" t="n"/>
      <c r="D28" s="51" t="n"/>
    </row>
    <row r="29">
      <c r="B29" s="166" t="inlineStr">
        <is>
          <t xml:space="preserve">Legal Law Violoation or prosecution for last 3 years / 최근 3년내 법적 제제위반사항 </t>
        </is>
      </c>
      <c r="C29" s="193" t="n"/>
      <c r="D29" s="51" t="n"/>
    </row>
    <row r="30">
      <c r="B30" s="166" t="inlineStr">
        <is>
          <t>If yes (the above, please describe) / 있다면 해당 내용 기술</t>
        </is>
      </c>
      <c r="C30" s="193" t="n"/>
      <c r="D30" s="51" t="n"/>
    </row>
    <row r="31">
      <c r="B31" s="166" t="inlineStr">
        <is>
          <t>Worker Interview counts / 인터뷰 근로자 수</t>
        </is>
      </c>
      <c r="C31" s="193" t="n"/>
      <c r="D31" s="51" t="n"/>
    </row>
  </sheetData>
  <mergeCells count="19">
    <mergeCell ref="B7:C7"/>
    <mergeCell ref="B12:B13"/>
    <mergeCell ref="B3:C3"/>
    <mergeCell ref="B31:C31"/>
    <mergeCell ref="B27:C27"/>
    <mergeCell ref="B14:B17"/>
    <mergeCell ref="B2:C2"/>
    <mergeCell ref="B11:C11"/>
    <mergeCell ref="B18:B25"/>
    <mergeCell ref="B8:C8"/>
    <mergeCell ref="B29:C29"/>
    <mergeCell ref="B10:C10"/>
    <mergeCell ref="B28:C28"/>
    <mergeCell ref="B9:C9"/>
    <mergeCell ref="B6:C6"/>
    <mergeCell ref="B30:C30"/>
    <mergeCell ref="B5:C5"/>
    <mergeCell ref="B26:C26"/>
    <mergeCell ref="B4:C4"/>
  </mergeCells>
  <dataValidations count="3">
    <dataValidation sqref="D8" showDropDown="0" showInputMessage="1" showErrorMessage="1" allowBlank="1" type="list">
      <formula1>"Initial,Corrective Action Verification"</formula1>
    </dataValidation>
    <dataValidation sqref="D21:D24 D26:D27 D29" showDropDown="0" showInputMessage="1" showErrorMessage="1" allowBlank="1" type="list">
      <formula1>"Yes,No"</formula1>
    </dataValidation>
    <dataValidation sqref="D9:D11" showDropDown="0" showInputMessage="1" showErrorMessage="1" allowBlank="1" type="date">
      <formula1>44562</formula1>
      <formula2>47848</formula2>
    </dataValidation>
  </dataValidations>
  <pageMargins left="0.3937007874015748" right="0.1574803149606299" top="0.2755905511811024" bottom="0.2755905511811024" header="0.1574803149606299" footer="0.1574803149606299"/>
  <pageSetup orientation="landscape" paperSize="9" scale="88"/>
</worksheet>
</file>

<file path=xl/worksheets/sheet3.xml><?xml version="1.0" encoding="utf-8"?>
<worksheet xmlns="http://schemas.openxmlformats.org/spreadsheetml/2006/main">
  <sheetPr>
    <outlinePr summaryBelow="1" summaryRight="1"/>
    <pageSetUpPr/>
  </sheetPr>
  <dimension ref="A1:S57"/>
  <sheetViews>
    <sheetView showGridLines="0" tabSelected="1" zoomScale="80" zoomScaleNormal="80" zoomScaleSheetLayoutView="100" workbookViewId="0">
      <pane xSplit="11" ySplit="5" topLeftCell="L6" activePane="bottomRight" state="frozen"/>
      <selection activeCell="D20" sqref="D20"/>
      <selection pane="topRight" activeCell="D20" sqref="D20"/>
      <selection pane="bottomLeft" activeCell="D20" sqref="D20"/>
      <selection pane="bottomRight" activeCell="L13" sqref="L13"/>
    </sheetView>
  </sheetViews>
  <sheetFormatPr baseColWidth="8" defaultColWidth="7.88671875" defaultRowHeight="14.4"/>
  <cols>
    <col width="13.5546875" customWidth="1" style="5" min="1" max="1"/>
    <col width="13.88671875" customWidth="1" style="2" min="2" max="2"/>
    <col width="13" customWidth="1" style="2" min="3" max="3"/>
    <col width="15.5546875" customWidth="1" style="2" min="4" max="4"/>
    <col hidden="1" width="11.44140625" customWidth="1" style="2" min="5" max="8"/>
    <col width="16.5546875" customWidth="1" style="2" min="9" max="9"/>
    <col width="12.88671875" customWidth="1" style="115" min="10" max="10"/>
    <col hidden="1" width="13.109375" customWidth="1" style="3" min="11" max="11"/>
    <col width="94.44140625" customWidth="1" style="3" min="12" max="12"/>
    <col width="136.88671875" customWidth="1" style="3" min="13" max="13"/>
    <col hidden="1" width="8.6640625" customWidth="1" style="3" min="14" max="17"/>
    <col width="12.44140625" customWidth="1" style="4" min="18" max="18"/>
    <col width="10" customWidth="1" style="4" min="19" max="19"/>
    <col width="7.88671875" customWidth="1" style="4" min="20" max="16384"/>
  </cols>
  <sheetData>
    <row r="1" ht="30.75" customHeight="1" s="191" thickBot="1">
      <c r="A1" s="39" t="inlineStr">
        <is>
          <t>Vendor Name</t>
        </is>
      </c>
      <c r="B1" s="138" t="inlineStr">
        <is>
          <t>IM VINA</t>
        </is>
      </c>
      <c r="C1" s="40" t="inlineStr">
        <is>
          <t>Audit date</t>
        </is>
      </c>
      <c r="D1" s="206" t="inlineStr">
        <is>
          <t>2026.09.08</t>
        </is>
      </c>
      <c r="E1" s="1" t="n"/>
      <c r="F1" s="1" t="n"/>
      <c r="G1" s="6" t="n"/>
      <c r="H1" s="6" t="n"/>
      <c r="I1" s="14" t="inlineStr">
        <is>
          <t>Comformance Rate</t>
        </is>
      </c>
      <c r="J1" s="113">
        <f>(COUNTIF(D6:D57,"Conformance")+COUNTIF(D6:D57,"N/A"))/52</f>
        <v/>
      </c>
    </row>
    <row r="2" ht="18.75" customHeight="1" s="191" thickBot="1" thickTop="1">
      <c r="A2" s="41" t="inlineStr">
        <is>
          <t>Vendor Code</t>
        </is>
      </c>
      <c r="B2" s="42" t="n"/>
      <c r="C2" s="43" t="inlineStr">
        <is>
          <t>Labor Score</t>
        </is>
      </c>
      <c r="D2" s="207">
        <f>SUMIFS($S$6:$S$57,$R$6:$R$57,"Labor")</f>
        <v/>
      </c>
      <c r="E2" s="140" t="n"/>
      <c r="F2" s="140" t="n"/>
      <c r="G2" s="141" t="n"/>
      <c r="H2" s="141" t="n"/>
      <c r="I2" s="15" t="inlineStr">
        <is>
          <t>Priority violation</t>
        </is>
      </c>
      <c r="J2" s="114">
        <f>COUNTIF(D6:D57,"Priority")</f>
        <v/>
      </c>
    </row>
    <row r="3" ht="18.75" customHeight="1" s="191" thickBot="1" thickTop="1">
      <c r="A3" s="44" t="inlineStr">
        <is>
          <t>RBA Score</t>
        </is>
      </c>
      <c r="B3" s="208">
        <f>IF((200*((COUNTIFS($D$6:$D$57,"Conformance")+COUNTIFS($D$6:$D$57,"N/A"))/52)) - (COUNTIFS($D$6:$D$57,"Priority")*20) -  (COUNTIFS($D$6:$D$57,"Major")*4) -  (COUNTIFS($D$6:$D$57,"Minor")*1)&lt;0,0,(200*((COUNTIFS($D$6:$D$57,"Conformance")+COUNTIFS($D$6:$D$57,"N/A"))/52)) - (COUNTIFS($D$6:$D$57,"Priority")*20) -  (COUNTIFS($D$6:$D$57,"Major")*4) -  (COUNTIFS($D$6:$D$57,"Minor")*1))</f>
        <v/>
      </c>
      <c r="C3" s="46" t="inlineStr">
        <is>
          <t>EHS Score</t>
        </is>
      </c>
      <c r="D3" s="207">
        <f>SUMIFS($S$6:$S$57,$R$6:$R$57,"EHS")</f>
        <v/>
      </c>
      <c r="E3" s="22" t="n"/>
      <c r="F3" s="22" t="n"/>
      <c r="G3" s="23" t="n"/>
      <c r="H3" s="23" t="n"/>
      <c r="I3" s="15" t="inlineStr">
        <is>
          <t>Penalty violation</t>
        </is>
      </c>
      <c r="J3" s="114">
        <f>COUNTIF(H6:H57,"X")</f>
        <v/>
      </c>
    </row>
    <row r="4" ht="18" customHeight="1" s="191" thickTop="1">
      <c r="A4" s="16" t="n"/>
      <c r="C4" s="27">
        <f>COUNTIFS(C6:C57,"O")</f>
        <v/>
      </c>
      <c r="D4" s="21" t="n"/>
      <c r="E4" s="21" t="n"/>
      <c r="F4" s="21" t="n"/>
      <c r="G4" s="21" t="n"/>
      <c r="H4" s="7" t="n"/>
      <c r="I4" s="142" t="n"/>
    </row>
    <row r="5" ht="44.25" customFormat="1" customHeight="1" s="18">
      <c r="A5" s="143" t="inlineStr">
        <is>
          <t>Provision</t>
        </is>
      </c>
      <c r="B5" s="143" t="inlineStr">
        <is>
          <t>Audit ID</t>
        </is>
      </c>
      <c r="C5" s="17" t="inlineStr">
        <is>
          <t>Audit Item</t>
        </is>
      </c>
      <c r="D5" s="138" t="inlineStr">
        <is>
          <t>Final Significance</t>
        </is>
      </c>
      <c r="E5" s="17" t="inlineStr">
        <is>
          <t>Violation</t>
        </is>
      </c>
      <c r="F5" s="17" t="inlineStr">
        <is>
          <t>Penalty
Item</t>
        </is>
      </c>
      <c r="G5" s="17" t="inlineStr">
        <is>
          <t>Penalty
Criteria</t>
        </is>
      </c>
      <c r="H5" s="17" t="inlineStr">
        <is>
          <t>Penalty
violation</t>
        </is>
      </c>
      <c r="I5" s="17" t="inlineStr">
        <is>
          <t>Penalty
Item</t>
        </is>
      </c>
      <c r="J5" s="17" t="inlineStr">
        <is>
          <t>Sub Category</t>
        </is>
      </c>
      <c r="K5" s="143" t="inlineStr">
        <is>
          <t>Conformance statement</t>
        </is>
      </c>
      <c r="L5" s="143" t="inlineStr">
        <is>
          <t>Description of Supporting Evidence of Violation</t>
        </is>
      </c>
      <c r="M5" s="17" t="inlineStr">
        <is>
          <t>Criteria of rating</t>
        </is>
      </c>
      <c r="N5" s="37" t="inlineStr">
        <is>
          <t>Site observation</t>
        </is>
      </c>
      <c r="O5" s="37" t="inlineStr">
        <is>
          <t>Record review</t>
        </is>
      </c>
      <c r="P5" s="37" t="inlineStr">
        <is>
          <t>Management interview</t>
        </is>
      </c>
      <c r="Q5" s="37" t="inlineStr">
        <is>
          <t>Worker interview</t>
        </is>
      </c>
      <c r="R5" s="17" t="inlineStr">
        <is>
          <t>Evaluating
section</t>
        </is>
      </c>
      <c r="S5" s="17" t="inlineStr">
        <is>
          <t>Score</t>
        </is>
      </c>
    </row>
    <row r="6" ht="195" customFormat="1" customHeight="1" s="10">
      <c r="A6" s="78" t="inlineStr">
        <is>
          <t>AL1) Prohibition of Forced Labor</t>
        </is>
      </c>
      <c r="B6" s="9" t="inlineStr">
        <is>
          <t>AL101</t>
        </is>
      </c>
      <c r="C6" s="20" t="inlineStr">
        <is>
          <t>O</t>
        </is>
      </c>
      <c r="D6" s="33" t="inlineStr">
        <is>
          <t>Conformance</t>
        </is>
      </c>
      <c r="E6" s="8">
        <f>IF(AND(D6&lt;&gt;"Conformance", D6&lt;&gt;"N/A"),"X","")</f>
        <v/>
      </c>
      <c r="F6" s="19" t="inlineStr">
        <is>
          <t>X</t>
        </is>
      </c>
      <c r="G6" s="20" t="inlineStr">
        <is>
          <t>Priority</t>
        </is>
      </c>
      <c r="H6" s="9">
        <f>IF(AND(F6="X",G6=D6),"X",IF(AND(F6="X",G6="Major", D6="Priority"),"X",""))</f>
        <v/>
      </c>
      <c r="I6" s="9" t="inlineStr">
        <is>
          <t>O</t>
        </is>
      </c>
      <c r="J6" s="25" t="inlineStr">
        <is>
          <t>Prohibition of forced labor</t>
        </is>
      </c>
      <c r="K6" s="9" t="inlineStr">
        <is>
          <t>Forced labor in any form, including but not limited to bonded(including debt bondage) or indentured labor, involuntary or exploitative prison
     labor, slavery, or trafficking of persons, is not permitted</t>
        </is>
      </c>
      <c r="L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t>
          </r>
          <r>
            <rPr>
              <rFont val="Calibri"/>
              <sz val="10"/>
            </rPr>
            <t xml:space="preserve">2. Labor Code No. 45/2019/QH14 (amended 2025), Article 8.1 (prohibition of forced labor, exploitation)
</t>
          </r>
          <r>
            <rPr>
              <rFont val="Calibri"/>
              <sz val="10"/>
            </rPr>
            <t xml:space="preserve">3. Labor Code No. 45/2019/QH14 (amended 2025), Article 17 (freedom of choice of employment)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t>
          </r>
          <r>
            <rPr>
              <rFont val="Calibri"/>
              <sz val="10"/>
            </rPr>
            <t xml:space="preserve">2. Bộ luật Lao động năm 2019 (Luật số 45/2019/QH14, sửa đổi 2025), Điều 8 khoản 1 (nghiêm cấm cưỡng bức lao động, ức hiếp, bóc lột lao động)
</t>
          </r>
          <r>
            <rPr>
              <rFont val="Calibri"/>
              <sz val="10"/>
            </rPr>
            <t>3. Bộ luật Lao động năm 2019 (Luật số 45/2019/QH14, sửa đổi 2025), Điều 17 (quyền tự do lựa chọn việc làm, nghề nghiệp)</t>
          </r>
        </is>
      </c>
      <c r="M6" s="69" t="inlineStr">
        <is>
          <r>
            <t xml:space="preserve">■ The rating criteria for the findings of prohibited recruitment and hiring fees that were paid and not reimbursed within 90 days after the payment.
     Frequency percentages are based on the sample size.
    </t>
          </r>
          <r>
            <rPr>
              <rFont val="Calibri"/>
              <charset val="129"/>
              <family val="3"/>
              <b val="1"/>
              <color rgb="FF0000FF"/>
              <sz val="10"/>
              <scheme val="minor"/>
            </rPr>
            <t xml:space="preserve"> ☞ Refer to "Reference Table" sheet</t>
          </r>
          <r>
            <rPr>
              <rFont val="Calibri"/>
              <charset val="129"/>
              <family val="3"/>
              <sz val="10"/>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6" s="38" t="inlineStr">
        <is>
          <t>O</t>
        </is>
      </c>
      <c r="O6" s="38" t="inlineStr">
        <is>
          <t>O</t>
        </is>
      </c>
      <c r="P6" s="38" t="inlineStr">
        <is>
          <t>O</t>
        </is>
      </c>
      <c r="Q6" s="38" t="inlineStr">
        <is>
          <t>O</t>
        </is>
      </c>
      <c r="R6" s="8" t="inlineStr">
        <is>
          <t>Labor</t>
        </is>
      </c>
      <c r="S6" s="8">
        <f>VLOOKUP(B6&amp;D6&amp;R6,[2]Table!$D:$E,2,0)</f>
        <v/>
      </c>
    </row>
    <row r="7" ht="303" customFormat="1" customHeight="1" s="10">
      <c r="A7" s="78" t="inlineStr">
        <is>
          <t>AL1) Prohibition of Forced Labor</t>
        </is>
      </c>
      <c r="B7" s="9" t="inlineStr">
        <is>
          <t>AL102</t>
        </is>
      </c>
      <c r="C7" s="20" t="inlineStr">
        <is>
          <t>O</t>
        </is>
      </c>
      <c r="D7" s="33" t="inlineStr">
        <is>
          <t>Conformance</t>
        </is>
      </c>
      <c r="E7" s="8">
        <f>IF(AND(D7&lt;&gt;"Conformance", D7&lt;&gt;"N/A"),"X","")</f>
        <v/>
      </c>
      <c r="F7" s="19" t="n"/>
      <c r="G7" s="20" t="n"/>
      <c r="H7" s="9">
        <f>IF(AND(F7="X",G7=D7),"X",IF(AND(F7="X",G7="Major", D7="Priority"),"X",""))</f>
        <v/>
      </c>
      <c r="I7" s="9" t="n"/>
      <c r="J7" s="25" t="inlineStr">
        <is>
          <t>Written contract in native language</t>
        </is>
      </c>
      <c r="K7" s="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is>
      </c>
      <c r="L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(written contract in native language)
</t>
          </r>
          <r>
            <rPr>
              <rFont val="Calibri"/>
              <sz val="10"/>
            </rPr>
            <t xml:space="preserve">2. Labor Code No. 45/2019/QH14 (amended 2025), Article 14.2 (written contract within 30 days from actual working commencement)
</t>
          </r>
          <r>
            <rPr>
              <rFont val="Calibri"/>
              <sz val="10"/>
            </rPr>
            <t xml:space="preserve">3. Labor Code No. 45/2019/QH14 (amended 2025), Article 21.1 (mandatory contents of labor contract)
</t>
          </r>
          <r>
            <rPr>
              <rFont val="Calibri"/>
              <sz val="10"/>
            </rPr>
            <t xml:space="preserve">4. Labor Code No. 45/2019/QH14 (amended 2025), Article 22 (types of labor contract)
</t>
          </r>
          <r>
            <rPr>
              <rFont val="Calibri"/>
              <sz val="10"/>
            </rPr>
            <t xml:space="preserve">5. Circular 10/2020/TT-BLDTBXH, Article 3 (model labor contract)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(hợp đồng tiếng mẹ đẻ)
</t>
          </r>
          <r>
            <rPr>
              <rFont val="Calibri"/>
              <sz val="10"/>
            </rPr>
            <t xml:space="preserve">2. Bộ luật Lao động năm 2019 (Luật số 45/2019/QH14, sửa đổi 2025), Điều 14 khoản 2 (giao kết hợp đồng bằng văn bản trong 30 ngày kể từ khi bắt đầu thực hiện công việc thực tế)
</t>
          </r>
          <r>
            <rPr>
              <rFont val="Calibri"/>
              <sz val="10"/>
            </rPr>
            <t xml:space="preserve">3. Bộ luật Lao động năm 2019 (Luật số 45/2019/QH14, sửa đổi 2025), Điều 21 khoản 1 (nội dung bắt buộc của hợp đồng lao động)
</t>
          </r>
          <r>
            <rPr>
              <rFont val="Calibri"/>
              <sz val="10"/>
            </rPr>
            <t xml:space="preserve">4. Bộ luật Lao động năm 2019 (Luật số 45/2019/QH14, sửa đổi 2025), Điều 22 (loại hợp đồng lao động)
</t>
          </r>
          <r>
            <rPr>
              <rFont val="Calibri"/>
              <sz val="10"/>
            </rPr>
            <t>5. Thông tư 10/2020/TT-BLDTBXH, Điều 3 (hợp đồng lao động mẫu)</t>
          </r>
        </is>
      </c>
      <c r="M7" s="69" t="inlineStr">
        <is>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rFont val="Calibri"/>
              <charset val="129"/>
              <family val="3"/>
              <b val="1"/>
              <color rgb="FF0000FF"/>
              <sz val="10"/>
              <scheme val="minor"/>
            </rPr>
            <t>              </t>
          </r>
          <r>
            <rPr>
              <rFont val="Calibri"/>
              <charset val="129"/>
              <family val="3"/>
              <sz val="10"/>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7" s="38" t="n"/>
      <c r="O7" s="38" t="inlineStr">
        <is>
          <t>O</t>
        </is>
      </c>
      <c r="P7" s="38" t="inlineStr">
        <is>
          <t>O</t>
        </is>
      </c>
      <c r="Q7" s="38" t="inlineStr">
        <is>
          <t>O</t>
        </is>
      </c>
      <c r="R7" s="8" t="inlineStr">
        <is>
          <t>Labor</t>
        </is>
      </c>
      <c r="S7" s="8">
        <f>VLOOKUP(B7&amp;D7&amp;R7,[2]Table!$D:$E,2,0)</f>
        <v/>
      </c>
    </row>
    <row r="8" ht="181.5" customFormat="1" customHeight="1" s="10">
      <c r="A8" s="78" t="inlineStr">
        <is>
          <t>AL1) Prohibition of Forced Labor</t>
        </is>
      </c>
      <c r="B8" s="9" t="inlineStr">
        <is>
          <t>AL103</t>
        </is>
      </c>
      <c r="C8" s="20" t="inlineStr">
        <is>
          <t>O</t>
        </is>
      </c>
      <c r="D8" s="33" t="inlineStr">
        <is>
          <t>Conformance</t>
        </is>
      </c>
      <c r="E8" s="8">
        <f>IF(AND(D8&lt;&gt;"Conformance", D8&lt;&gt;"N/A"),"X","")</f>
        <v/>
      </c>
      <c r="F8" s="19" t="n"/>
      <c r="G8" s="20" t="n"/>
      <c r="H8" s="9">
        <f>IF(AND(F8="X",G8=D8),"X",IF(AND(F8="X",G8="Major", D8="Priority"),"X",""))</f>
        <v/>
      </c>
      <c r="I8" s="9" t="n"/>
      <c r="J8" s="25" t="inlineStr">
        <is>
          <t>Prohibition of holding worker’s original ID card</t>
        </is>
      </c>
      <c r="K8" s="9" t="inlineStr">
        <is>
          <t xml:space="preserve">The worker’s government-issued identification and personal documentation originals are not held by their employer, 
    agents and  sub-agents
</t>
        </is>
      </c>
      <c r="L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(no holding of original ID)
</t>
          </r>
          <r>
            <rPr>
              <rFont val="Calibri"/>
              <sz val="10"/>
            </rPr>
            <t xml:space="preserve">2. Labor Code No. 45/2019/QH14 (amended 2025), Article 8.9 (prohibition of holding workers' original documents unlawfully)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(không giữ giấy tờ gốc)
</t>
          </r>
          <r>
            <rPr>
              <rFont val="Calibri"/>
              <sz val="10"/>
            </rPr>
            <t>2. Bộ luật Lao động năm 2019 (Luật số 45/2019/QH14, sửa đổi 2025), Điều 8 khoản 9 (nghiêm cấm bắt người lao động để lại giấy tờ gốc trái pháp luật)</t>
          </r>
        </is>
      </c>
      <c r="M8" s="69" t="inlineStr">
        <is>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is>
      </c>
      <c r="N8" s="38" t="inlineStr">
        <is>
          <t>O</t>
        </is>
      </c>
      <c r="O8" s="38" t="inlineStr">
        <is>
          <t>O</t>
        </is>
      </c>
      <c r="P8" s="38" t="inlineStr">
        <is>
          <t>O</t>
        </is>
      </c>
      <c r="Q8" s="38" t="inlineStr">
        <is>
          <t>O</t>
        </is>
      </c>
      <c r="R8" s="8" t="inlineStr">
        <is>
          <t>Labor</t>
        </is>
      </c>
      <c r="S8" s="8">
        <f>VLOOKUP(B8&amp;D8&amp;R8,[2]Table!$D:$E,2,0)</f>
        <v/>
      </c>
    </row>
    <row r="9" ht="262.5" customFormat="1" customHeight="1" s="10">
      <c r="A9" s="78" t="inlineStr">
        <is>
          <t>AL2) Young Workers</t>
        </is>
      </c>
      <c r="B9" s="9" t="inlineStr">
        <is>
          <t>AL201</t>
        </is>
      </c>
      <c r="C9" s="20" t="inlineStr">
        <is>
          <t>O</t>
        </is>
      </c>
      <c r="D9" s="33" t="inlineStr">
        <is>
          <t>Conformance</t>
        </is>
      </c>
      <c r="E9" s="8">
        <f>IF(AND(D9&lt;&gt;"Conformance", D9&lt;&gt;"N/A"),"X","")</f>
        <v/>
      </c>
      <c r="F9" s="19" t="inlineStr">
        <is>
          <t>X</t>
        </is>
      </c>
      <c r="G9" s="20" t="inlineStr">
        <is>
          <t>Priority</t>
        </is>
      </c>
      <c r="H9" s="9">
        <f>IF(AND(F9="X",G9=D9),"X",IF(AND(F9="X",G9="Major", D9="Priority"),"X",""))</f>
        <v/>
      </c>
      <c r="I9" s="9" t="inlineStr">
        <is>
          <t>O</t>
        </is>
      </c>
      <c r="J9" s="25" t="inlineStr">
        <is>
          <t>Prohibition of child labor</t>
        </is>
      </c>
      <c r="K9" s="9" t="inlineStr">
        <is>
          <t>Workers are not below the minimum age</t>
        </is>
      </c>
      <c r="L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(prohibition of child labor)
</t>
          </r>
          <r>
            <rPr>
              <rFont val="Calibri"/>
              <sz val="10"/>
            </rPr>
            <t xml:space="preserve">2. Labor Code No. 45/2019/QH14 (amended 2025), Article 143 (employment of children)
</t>
          </r>
          <r>
            <rPr>
              <rFont val="Calibri"/>
              <sz val="10"/>
            </rPr>
            <t xml:space="preserve">3. Labor Code No. 45/2019/QH14 (amended 2025), Article 145 (recruitment and use of workers under 15 years of age)
</t>
          </r>
          <r>
            <rPr>
              <rFont val="Calibri"/>
              <sz val="10"/>
            </rPr>
            <t xml:space="preserve">4. Labor Code No. 45/2019/QH14 (amended 2025), Article 147 (workers from 15 to under 18 years of age)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(cấm lao động trẻ em)
</t>
          </r>
          <r>
            <rPr>
              <rFont val="Calibri"/>
              <sz val="10"/>
            </rPr>
            <t xml:space="preserve">2. Bộ luật Lao động năm 2019 (Luật số 45/2019/QH14, sửa đổi 2025), Điều 143 (quy định về sử dụng lao động là trẻ em)
</t>
          </r>
          <r>
            <rPr>
              <rFont val="Calibri"/>
              <sz val="10"/>
            </rPr>
            <t xml:space="preserve">3. Bộ luật Lao động năm 2019 (Luật số 45/2019/QH14, sửa đổi 2025), Điều 145 (tuyển dụng và sử dụng người lao động chưa đủ 15 tuổi)
</t>
          </r>
          <r>
            <rPr>
              <rFont val="Calibri"/>
              <sz val="10"/>
            </rPr>
            <t>4. Bộ luật Lao động năm 2019 (Luật số 45/2019/QH14, sửa đổi 2025), Điều 147 (tuyển dụng và sử dụng người lao động từ đủ 15 đến dưới 18 tuổi)</t>
          </r>
        </is>
      </c>
      <c r="M9" s="69" t="inlineStr">
        <is>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9" s="38" t="inlineStr">
        <is>
          <t>O</t>
        </is>
      </c>
      <c r="O9" s="38" t="inlineStr">
        <is>
          <t>O</t>
        </is>
      </c>
      <c r="P9" s="38" t="inlineStr">
        <is>
          <t>O</t>
        </is>
      </c>
      <c r="Q9" s="38" t="inlineStr">
        <is>
          <t>O</t>
        </is>
      </c>
      <c r="R9" s="8" t="inlineStr">
        <is>
          <t>Labor</t>
        </is>
      </c>
      <c r="S9" s="8">
        <f>VLOOKUP(B9&amp;D9&amp;R9,[2]Table!$D:$E,2,0)</f>
        <v/>
      </c>
    </row>
    <row r="10" ht="222" customFormat="1" customHeight="1" s="10">
      <c r="A10" s="78" t="inlineStr">
        <is>
          <t>AL2) Young Workers</t>
        </is>
      </c>
      <c r="B10" s="9" t="inlineStr">
        <is>
          <t>AL202</t>
        </is>
      </c>
      <c r="C10" s="20" t="inlineStr">
        <is>
          <t>O</t>
        </is>
      </c>
      <c r="D10" s="33" t="inlineStr">
        <is>
          <t>Conformance</t>
        </is>
      </c>
      <c r="E10" s="8">
        <f>IF(AND(D10&lt;&gt;"Conformance", D10&lt;&gt;"N/A"),"X","")</f>
        <v/>
      </c>
      <c r="F10" s="19" t="inlineStr">
        <is>
          <t>X</t>
        </is>
      </c>
      <c r="G10" s="20" t="inlineStr">
        <is>
          <t>Priority</t>
        </is>
      </c>
      <c r="H10" s="9">
        <f>IF(AND(F10="X",G10=D10),"X",IF(AND(F10="X",G10="Major", D10="Priority"),"X",""))</f>
        <v/>
      </c>
      <c r="I10" s="9" t="inlineStr">
        <is>
          <t>O</t>
        </is>
      </c>
      <c r="J10" s="25" t="inlineStr">
        <is>
          <t>Juvenile worker protection</t>
        </is>
      </c>
      <c r="K10" s="69" t="inlineStr">
        <is>
          <t>Workers under the age of 18 are not allowed to perform work that is likely to jeopardize the health or safety of these young workers,
     including night work or overtime</t>
        </is>
      </c>
      <c r="L1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(juvenile worker protection)
</t>
          </r>
          <r>
            <rPr>
              <rFont val="Calibri"/>
              <sz val="10"/>
            </rPr>
            <t xml:space="preserve">2. Labor Code No. 45/2019/QH14 (amended 2025), Article 148 (working hours of juvenile workers: max 8h/day, 40h/week; no overtime, no night work)
</t>
          </r>
          <r>
            <rPr>
              <rFont val="Calibri"/>
              <sz val="10"/>
            </rPr>
            <t xml:space="preserve">3. Labor Code No. 45/2019/QH14 (amended 2025), Article 149 (prohibited works and workplaces for juvenile workers)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(bảo vệ chưa thành niên)
</t>
          </r>
          <r>
            <rPr>
              <rFont val="Calibri"/>
              <sz val="10"/>
            </rPr>
            <t xml:space="preserve">2. Bộ luật Lao động năm 2019 (Luật số 45/2019/QH14, sửa đổi 2025), Điều 148 (thời giờ làm việc của người chưa thành niên: không quá 8 giờ/ngày, 40 giờ/tuần; cấm làm thêm giờ và làm đêm)
</t>
          </r>
          <r>
            <rPr>
              <rFont val="Calibri"/>
              <sz val="10"/>
            </rPr>
            <t>3. Bộ luật Lao động năm 2019 (Luật số 45/2019/QH14, sửa đổi 2025), Điều 149 (công việc và nơi làm việc cấm sử dụng người chưa thành niên)</t>
          </r>
        </is>
      </c>
      <c r="M10" s="69" t="inlineStr">
        <is>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0" s="38" t="inlineStr">
        <is>
          <t>O</t>
        </is>
      </c>
      <c r="O10" s="38" t="inlineStr">
        <is>
          <t>O</t>
        </is>
      </c>
      <c r="P10" s="38" t="inlineStr">
        <is>
          <t>O</t>
        </is>
      </c>
      <c r="Q10" s="38" t="inlineStr">
        <is>
          <t>O</t>
        </is>
      </c>
      <c r="R10" s="8" t="inlineStr">
        <is>
          <t>Labor</t>
        </is>
      </c>
      <c r="S10" s="8">
        <f>VLOOKUP(B10&amp;D10&amp;R10,[2]Table!$D:$E,2,0)</f>
        <v/>
      </c>
    </row>
    <row r="11" ht="181.5" customFormat="1" customHeight="1" s="10">
      <c r="A11" s="78" t="inlineStr">
        <is>
          <t>AL2) Young Workers</t>
        </is>
      </c>
      <c r="B11" s="9" t="inlineStr">
        <is>
          <t>AL203</t>
        </is>
      </c>
      <c r="C11" s="20" t="inlineStr">
        <is>
          <t>O</t>
        </is>
      </c>
      <c r="D11" s="33" t="inlineStr">
        <is>
          <t>Conformance</t>
        </is>
      </c>
      <c r="E11" s="8">
        <f>IF(AND(D11&lt;&gt;"Conformance", D11&lt;&gt;"N/A"),"X","")</f>
        <v/>
      </c>
      <c r="F11" s="19" t="n"/>
      <c r="G11" s="20" t="n"/>
      <c r="H11" s="9">
        <f>IF(AND(F11="X",G11=D11),"X",IF(AND(F11="X",G11="Major", D11="Priority"),"X",""))</f>
        <v/>
      </c>
      <c r="I11" s="9" t="n"/>
      <c r="J11" s="25" t="inlineStr">
        <is>
          <t>Student worker/Intern/Apprentice Protection</t>
        </is>
      </c>
      <c r="K11" s="69" t="inlineStr">
        <is>
          <t>Apprentice/Intern/Student Worker employment conforms with learning objectives</t>
        </is>
      </c>
      <c r="L11"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(student worker / intern / apprentice)
</t>
          </r>
          <r>
            <rPr>
              <rFont val="Calibri"/>
              <sz val="10"/>
            </rPr>
            <t xml:space="preserve">2. Labor Code No. 45/2019/QH14 (amended 2025), Articles 61-63 (vocational learning at enterprises; rights and obligations)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(thực tập sinh / học nghề)
</t>
          </r>
          <r>
            <rPr>
              <rFont val="Calibri"/>
              <sz val="10"/>
            </rPr>
            <t>2. Bộ luật Lao động năm 2019 (Luật số 45/2019/QH14, sửa đổi 2025), Điều 61-63 (học nghề tại doanh nghiệp; quyền, nghĩa vụ của người học nghề và doanh nghiệp)</t>
          </r>
        </is>
      </c>
      <c r="M11" s="69" t="inlineStr">
        <is>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1" s="38" t="inlineStr">
        <is>
          <t>O</t>
        </is>
      </c>
      <c r="O11" s="38" t="inlineStr">
        <is>
          <t>O</t>
        </is>
      </c>
      <c r="P11" s="38" t="inlineStr">
        <is>
          <t>O</t>
        </is>
      </c>
      <c r="Q11" s="38" t="inlineStr">
        <is>
          <t>O</t>
        </is>
      </c>
      <c r="R11" s="8" t="inlineStr">
        <is>
          <t>Labor</t>
        </is>
      </c>
      <c r="S11" s="8">
        <f>VLOOKUP(B11&amp;D11&amp;R11,[2]Table!$D:$E,2,0)</f>
        <v/>
      </c>
    </row>
    <row r="12" ht="195" customFormat="1" customHeight="1" s="10">
      <c r="A12" s="78" t="inlineStr">
        <is>
          <t>AL3) Working hours</t>
        </is>
      </c>
      <c r="B12" s="9" t="inlineStr">
        <is>
          <t>AL301</t>
        </is>
      </c>
      <c r="C12" s="20" t="inlineStr">
        <is>
          <t>O</t>
        </is>
      </c>
      <c r="D12" s="33" t="inlineStr">
        <is>
          <t>Conformance</t>
        </is>
      </c>
      <c r="E12" s="8">
        <f>IF(AND(D12&lt;&gt;"Conformance", D12&lt;&gt;"N/A"),"X","")</f>
        <v/>
      </c>
      <c r="F12" s="19" t="n"/>
      <c r="G12" s="20" t="n"/>
      <c r="H12" s="9">
        <f>IF(AND(F12="X",G12=D12),"X",IF(AND(F12="X",G12="Major", D12="Priority"),"X",""))</f>
        <v/>
      </c>
      <c r="I12" s="9" t="n"/>
      <c r="J12" s="25" t="inlineStr">
        <is>
          <t>Compliance of working hours</t>
        </is>
      </c>
      <c r="K12" s="69" t="inlineStr">
        <is>
          <t xml:space="preserve">Hours worked in a workweek does not exceed 60 hours </t>
        </is>
      </c>
      <c r="L12"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t>
          </r>
          <r>
            <rPr>
              <rFont val="Calibri"/>
              <sz val="10"/>
            </rPr>
            <t xml:space="preserve">2. Labor Code No. 45/2019/QH14 (amended 2025), Article 107 (normal working hours max 8h/day, 48h/week; overtime max 40h/month, 200h/year; special cases max 300h/year)
</t>
          </r>
          <r>
            <rPr>
              <rFont val="Calibri"/>
              <sz val="10"/>
            </rPr>
            <t xml:space="preserve">3. Decree 145/2020/ND-CP (working conditions and labor relations)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t>
          </r>
          <r>
            <rPr>
              <rFont val="Calibri"/>
              <sz val="10"/>
            </rPr>
            <t xml:space="preserve">2. Bộ luật Lao động năm 2019 (Luật số 45/2019/QH14, sửa đổi 2025), Điều 107 (thời giờ làm việc bình thường không quá 8 giờ/ngày, 48 giờ/tuần; làm thêm giờ không quá 40 giờ/tháng, 200 giờ/năm; trường hợp đặc biệt không quá 300 giờ/năm)
</t>
          </r>
          <r>
            <rPr>
              <rFont val="Calibri"/>
              <sz val="10"/>
            </rPr>
            <t>3. Nghị định 145/2020/NĐ-CP (quy định chi tiết về điều kiện làm việc và quan hệ lao động)</t>
          </r>
        </is>
      </c>
      <c r="M12" s="69" t="inlineStr">
        <is>
          <r>
            <t>
</t>
          </r>
          <r>
            <rPr>
              <rFont val="Calibri"/>
              <charset val="129"/>
              <family val="3"/>
              <b val="1"/>
              <color rgb="FF0000FF"/>
              <sz val="10"/>
              <scheme val="minor"/>
            </rPr>
            <t xml:space="preserve">Use working-hour evaluation template, "Reference Table" sheet </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2" s="38" t="n"/>
      <c r="O12" s="38" t="inlineStr">
        <is>
          <t>O</t>
        </is>
      </c>
      <c r="P12" s="38" t="inlineStr">
        <is>
          <t>O</t>
        </is>
      </c>
      <c r="Q12" s="38" t="inlineStr">
        <is>
          <t>O</t>
        </is>
      </c>
      <c r="R12" s="8" t="inlineStr">
        <is>
          <t>Labor</t>
        </is>
      </c>
      <c r="S12" s="8">
        <f>VLOOKUP(B12&amp;D12&amp;R12,[2]Table!$D:$E,2,0)</f>
        <v/>
      </c>
    </row>
    <row r="13" ht="235.5" customFormat="1" customHeight="1" s="10">
      <c r="A13" s="78" t="inlineStr">
        <is>
          <t>AL3) Working hours</t>
        </is>
      </c>
      <c r="B13" s="9" t="inlineStr">
        <is>
          <t>AL302</t>
        </is>
      </c>
      <c r="C13" s="20" t="inlineStr">
        <is>
          <t>O</t>
        </is>
      </c>
      <c r="D13" s="33" t="inlineStr">
        <is>
          <t>Minor</t>
        </is>
      </c>
      <c r="E13" s="8">
        <f>IF(AND(D13&lt;&gt;"Conformance", D13&lt;&gt;"N/A"),"X","")</f>
        <v/>
      </c>
      <c r="F13" s="19" t="n"/>
      <c r="G13" s="20" t="n"/>
      <c r="H13" s="9">
        <f>IF(AND(F13="X",G13=D13),"X",IF(AND(F13="X",G13="Major", D13="Priority"),"X",""))</f>
        <v/>
      </c>
      <c r="I13" s="9" t="n"/>
      <c r="J13" s="25" t="inlineStr">
        <is>
          <t>Guarantee of 1 day-off per week</t>
        </is>
      </c>
      <c r="K13" s="69" t="inlineStr">
        <is>
          <t xml:space="preserve">Workers receive at least one (1) day off every seven (7) days </t>
        </is>
      </c>
      <c r="L13" s="209" t="inlineStr">
        <is>
          <r>
            <rPr>
              <rFont val="Calibri"/>
              <b val="1"/>
              <sz val="10"/>
            </rPr>
            <t xml:space="preserve">AUDIT FINDINGS (ENGLISH)
</t>
          </r>
          <r>
            <rPr>
              <rFont val="Calibri"/>
              <sz val="10"/>
            </rPr>
            <t xml:space="preserve">1. Through examining the working data of 35 people in 3 months (June, July, August 2026), it shows that: On average, 3.8% of workers worked continuously [12 ~ 24 days] in 3 months.
</t>
          </r>
          <r>
            <rPr>
              <rFont val="Calibri"/>
              <sz val="10"/>
            </rPr>
            <t>
</t>
          </r>
          <r>
            <rPr>
              <rFont val="Calibri"/>
              <b val="1"/>
              <sz val="10"/>
            </rPr>
            <t xml:space="preserve">Legal references:
</t>
          </r>
          <r>
            <rPr>
              <rFont val="Calibri"/>
              <sz val="10"/>
            </rPr>
            <t xml:space="preserve">1. RBA Code of Conduct, Version 8.0.1, Section A3: Working Hours (one day off in seven)
</t>
          </r>
          <r>
            <rPr>
              <rFont val="Calibri"/>
              <sz val="10"/>
            </rPr>
            <t xml:space="preserve">2. Labor Code No. 45/2019/QH14 (amended 2025),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Qua kiểm tra dữ liệu làm việc 35 người trong 3 tháng (06,07,08.2026) cho thấy:  Trung bình 3.8% người lao động làm việc liên tục [12 ~ 24 ngày] trong 3 tháng.
</t>
          </r>
          <r>
            <rPr>
              <rFont val="Calibri"/>
              <sz val="10"/>
            </rPr>
            <t>
</t>
          </r>
          <r>
            <rPr>
              <rFont val="Calibri"/>
              <b val="1"/>
              <sz val="10"/>
            </rPr>
            <t xml:space="preserve">Căn cứ pháp lý:
</t>
          </r>
          <r>
            <rPr>
              <rFont val="Calibri"/>
              <sz val="10"/>
            </rPr>
            <t xml:space="preserve">1. Bộ Quy tắc Ứng xử RBA phiên bản 8.0.1, Mục A3: Thời giờ làm việc (nghỉ 1 ngày mỗi tuần)
</t>
          </r>
          <r>
            <rPr>
              <rFont val="Calibri"/>
              <sz val="10"/>
            </rPr>
            <t>2. Bộ luật Lao động năm 2019 (Luật số 45/2019/QH14, sửa đổi 2025), Điều 111 (nghỉ hàng tuần: ít nhất 24 giờ liên tục mỗi tuần)</t>
          </r>
        </is>
      </c>
      <c r="M13" s="69" t="inlineStr">
        <is>
          <r>
            <t>
</t>
          </r>
          <r>
            <rPr>
              <rFont val="Calibri"/>
              <charset val="129"/>
              <family val="3"/>
              <b val="1"/>
              <color rgb="FF0000FF"/>
              <sz val="10"/>
              <scheme val="minor"/>
            </rPr>
            <t>Use working-hour evaluation template, "Reference Table" sheet</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3" s="38" t="n"/>
      <c r="O13" s="38" t="inlineStr">
        <is>
          <t>O</t>
        </is>
      </c>
      <c r="P13" s="38" t="inlineStr">
        <is>
          <t>O</t>
        </is>
      </c>
      <c r="Q13" s="38" t="inlineStr">
        <is>
          <t>O</t>
        </is>
      </c>
      <c r="R13" s="8" t="inlineStr">
        <is>
          <t>Labor</t>
        </is>
      </c>
      <c r="S13" s="8">
        <f>VLOOKUP(B13&amp;D13&amp;R13,[2]Table!$D:$E,2,0)</f>
        <v/>
      </c>
    </row>
    <row r="14" ht="262.5" customFormat="1" customHeight="1" s="10">
      <c r="A14" s="78" t="inlineStr">
        <is>
          <t>AL3) Working hours</t>
        </is>
      </c>
      <c r="B14" s="9" t="inlineStr">
        <is>
          <t>AL303</t>
        </is>
      </c>
      <c r="C14" s="20" t="inlineStr">
        <is>
          <t>O</t>
        </is>
      </c>
      <c r="D14" s="33" t="inlineStr">
        <is>
          <t>Conformance</t>
        </is>
      </c>
      <c r="E14" s="8">
        <f>IF(AND(D14&lt;&gt;"Conformance", D14&lt;&gt;"N/A"),"X","")</f>
        <v/>
      </c>
      <c r="F14" s="19" t="n"/>
      <c r="G14" s="20" t="n"/>
      <c r="H14" s="9">
        <f>IF(AND(F14="X",G14=D14),"X",IF(AND(F14="X",G14="Major", D14="Priority"),"X",""))</f>
        <v/>
      </c>
      <c r="I14" s="9" t="n"/>
      <c r="J14" s="25" t="inlineStr">
        <is>
          <t>Guarantee of legal breaks and holidays</t>
        </is>
      </c>
      <c r="K14" s="69" t="inlineStr">
        <is>
          <t>Workers are allowed mandated breaks, holidays and vacation days, including time off when ill or for maternity leave</t>
        </is>
      </c>
      <c r="L1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(breaks, holidays and leave)
</t>
          </r>
          <r>
            <rPr>
              <rFont val="Calibri"/>
              <sz val="10"/>
            </rPr>
            <t xml:space="preserve">2. Labor Code No. 45/2019/QH14 (amended 2025), Article 109 (in-shift breaks)
</t>
          </r>
          <r>
            <rPr>
              <rFont val="Calibri"/>
              <sz val="10"/>
            </rPr>
            <t xml:space="preserve">3. Labor Code No. 45/2019/QH14 (amended 2025), Article 112 (public holidays)
</t>
          </r>
          <r>
            <rPr>
              <rFont val="Calibri"/>
              <sz val="10"/>
            </rPr>
            <t xml:space="preserve">4. Labor Code No. 45/2019/QH14 (amended 2025), Article 113 (annual paid leave; leave may be agreed in parts or accumulated up to 3 years; untaken leave shall be paid upon contract termination)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(nghỉ giữa giờ, lễ tết, phép năm)
</t>
          </r>
          <r>
            <rPr>
              <rFont val="Calibri"/>
              <sz val="10"/>
            </rPr>
            <t xml:space="preserve">2. Bộ luật Lao động năm 2019 (Luật số 45/2019/QH14, sửa đổi 2025), Điều 109 (nghỉ giữa giờ làm việc)
</t>
          </r>
          <r>
            <rPr>
              <rFont val="Calibri"/>
              <sz val="10"/>
            </rPr>
            <t xml:space="preserve">3. Bộ luật Lao động năm 2019 (Luật số 45/2019/QH14, sửa đổi 2025), Điều 112 (nghỉ lễ, tết)
</t>
          </r>
          <r>
            <rPr>
              <rFont val="Calibri"/>
              <sz val="10"/>
            </rPr>
            <t>4. Bộ luật Lao động năm 2019 (Luật số 45/2019/QH14, sửa đổi 2025), Điều 113 (nghỉ hằng năm có lương; thỏa thuận nghỉ nhiều lần hoặc gộp tối đa 3 năm; được thanh toán ngày phép chưa nghỉ khi chấm dứt hợp đồng)</t>
          </r>
        </is>
      </c>
      <c r="M14" s="69" t="inlineStr">
        <is>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is>
      </c>
      <c r="N14" s="38" t="inlineStr">
        <is>
          <t>O</t>
        </is>
      </c>
      <c r="O14" s="38" t="inlineStr">
        <is>
          <t>O</t>
        </is>
      </c>
      <c r="P14" s="38" t="inlineStr">
        <is>
          <t>O</t>
        </is>
      </c>
      <c r="Q14" s="38" t="inlineStr">
        <is>
          <t>O</t>
        </is>
      </c>
      <c r="R14" s="8" t="inlineStr">
        <is>
          <t>Labor</t>
        </is>
      </c>
      <c r="S14" s="8">
        <f>VLOOKUP(B14&amp;D14&amp;R14,[2]Table!$D:$E,2,0)</f>
        <v/>
      </c>
    </row>
    <row r="15" ht="330" customFormat="1" customHeight="1" s="10">
      <c r="A15" s="78" t="inlineStr">
        <is>
          <t>AL4) Wages and Benefits</t>
        </is>
      </c>
      <c r="B15" s="9" t="inlineStr">
        <is>
          <t>AL401</t>
        </is>
      </c>
      <c r="C15" s="20" t="inlineStr">
        <is>
          <t>O</t>
        </is>
      </c>
      <c r="D15" s="33" t="inlineStr">
        <is>
          <t>Major</t>
        </is>
      </c>
      <c r="E15" s="8">
        <f>IF(AND(D15&lt;&gt;"Conformance", D15&lt;&gt;"N/A"),"X","")</f>
        <v/>
      </c>
      <c r="F15" s="19" t="inlineStr">
        <is>
          <t>X</t>
        </is>
      </c>
      <c r="G15" s="20" t="inlineStr">
        <is>
          <t>Priority</t>
        </is>
      </c>
      <c r="H15" s="9">
        <f>IF(AND(F15="X",G15=D15),"X",IF(AND(F15="X",G15="Major", D15="Priority"),"X",""))</f>
        <v/>
      </c>
      <c r="I15" s="9" t="inlineStr">
        <is>
          <t>O</t>
        </is>
      </c>
      <c r="J15" s="116" t="inlineStr">
        <is>
          <t>Accurate wage calculation and payment</t>
        </is>
      </c>
      <c r="K15" s="69" t="inlineStr">
        <is>
          <t xml:space="preserve">Wages for regular and overtime hours are correctly calculated and timely paid to all workers </t>
        </is>
      </c>
      <c r="L15" s="209" t="inlineStr">
        <is>
          <r>
            <rPr>
              <rFont val="Calibri"/>
              <b val="1"/>
              <sz val="10"/>
            </rPr>
            <t xml:space="preserve">AUDIT FINDINGS (ENGLISH)
</t>
          </r>
          <r>
            <rPr>
              <rFont val="Calibri"/>
              <sz val="10"/>
            </rPr>
            <t xml:space="preserve">1. The company has not provided child care support for employees with children of child care age.
</t>
          </r>
          <r>
            <rPr>
              <rFont val="Calibri"/>
              <sz val="10"/>
            </rPr>
            <t>
</t>
          </r>
          <r>
            <rPr>
              <rFont val="Calibri"/>
              <b val="1"/>
              <sz val="10"/>
            </rPr>
            <t xml:space="preserve">Legal references:
</t>
          </r>
          <r>
            <rPr>
              <rFont val="Calibri"/>
              <sz val="10"/>
            </rPr>
            <t xml:space="preserve">1. RBA Code of Conduct, Version 8.0.1, Section A4: Wages and Benefits (accurate and timely payment)
</t>
          </r>
          <r>
            <rPr>
              <rFont val="Calibri"/>
              <sz val="10"/>
            </rPr>
            <t xml:space="preserve">2. Labor Code No. 45/2019/QH14 (amended 2025), Article 136.4 (employers shall assist, support and provide nurseries and kindergartens for employees)
</t>
          </r>
          <r>
            <rPr>
              <rFont val="Calibri"/>
              <sz val="10"/>
            </rPr>
            <t xml:space="preserve">3. Labor Code No. 45/2019/QH14 (amended 2025), Article 94 (wages shall be paid directly, in full and on time)
</t>
          </r>
          <r>
            <rPr>
              <rFont val="Calibri"/>
              <sz val="10"/>
            </rPr>
            <t xml:space="preserve">---------------------------------------
</t>
          </r>
          <r>
            <rPr>
              <rFont val="Calibri"/>
              <b val="1"/>
              <sz val="10"/>
            </rPr>
            <t xml:space="preserve">NỘI DUNG ĐÁNH GIÁ (TIẾNG VIỆT)
</t>
          </r>
          <r>
            <rPr>
              <rFont val="Calibri"/>
              <sz val="10"/>
            </rPr>
            <t xml:space="preserve">1. Công ty chưa thực hiện hỗ trợ khoản gửi trẻ cho người lao động có con trong độ tuổi gửi trẻ.
</t>
          </r>
          <r>
            <rPr>
              <rFont val="Calibri"/>
              <sz val="10"/>
            </rPr>
            <t>
</t>
          </r>
          <r>
            <rPr>
              <rFont val="Calibri"/>
              <b val="1"/>
              <sz val="10"/>
            </rPr>
            <t xml:space="preserve">Căn cứ pháp lý:
</t>
          </r>
          <r>
            <rPr>
              <rFont val="Calibri"/>
              <sz val="10"/>
            </rPr>
            <t xml:space="preserve">1. Bộ Quy tắc Ứng xử RBA phiên bản 8.0.1, Mục A4: Tiền lương và phúc lợi (trả lương chính xác, đúng hạn)
</t>
          </r>
          <r>
            <rPr>
              <rFont val="Calibri"/>
              <sz val="10"/>
            </rPr>
            <t xml:space="preserve">2. Bộ luật Lao động năm 2019 (Luật số 45/2019/QH14, sửa đổi 2025), Điều 136 khoản 4 (người sử dụng lao động có trách nhiệm giúp đỡ, hỗ trợ, xây dựng nhà trẻ, lớp mẫu giáo cho người lao động)
</t>
          </r>
          <r>
            <rPr>
              <rFont val="Calibri"/>
              <sz val="10"/>
            </rPr>
            <t>3. Bộ luật Lao động năm 2019 (Luật số 45/2019/QH14, sửa đổi 2025), Điều 94 (tiền lương phải được trả trực tiếp, đầy đủ, đúng hạn)</t>
          </r>
        </is>
      </c>
      <c r="M15" s="117" t="inlineStr">
        <is>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5" s="38" t="n"/>
      <c r="O15" s="38" t="inlineStr">
        <is>
          <t>O</t>
        </is>
      </c>
      <c r="P15" s="38" t="inlineStr">
        <is>
          <t>O</t>
        </is>
      </c>
      <c r="Q15" s="38" t="inlineStr">
        <is>
          <t>O</t>
        </is>
      </c>
      <c r="R15" s="8" t="inlineStr">
        <is>
          <t>Labor</t>
        </is>
      </c>
      <c r="S15" s="8">
        <f>VLOOKUP(B15&amp;D15&amp;R15,[2]Table!$D:$E,2,0)</f>
        <v/>
      </c>
    </row>
    <row r="16" ht="262.5" customFormat="1" customHeight="1" s="10">
      <c r="A16" s="78" t="inlineStr">
        <is>
          <t>AL4) Wages and Benefits</t>
        </is>
      </c>
      <c r="B16" s="9" t="inlineStr">
        <is>
          <t>AL402</t>
        </is>
      </c>
      <c r="C16" s="20" t="inlineStr">
        <is>
          <t>O</t>
        </is>
      </c>
      <c r="D16" s="33" t="inlineStr">
        <is>
          <t>Major</t>
        </is>
      </c>
      <c r="E16" s="8">
        <f>IF(AND(D16&lt;&gt;"Conformance", D16&lt;&gt;"N/A"),"X","")</f>
        <v/>
      </c>
      <c r="F16" s="19" t="n"/>
      <c r="G16" s="20" t="n"/>
      <c r="H16" s="9">
        <f>IF(AND(F16="X",G16=D16),"X",IF(AND(F16="X",G16="Major", D16="Priority"),"X",""))</f>
        <v/>
      </c>
      <c r="I16" s="9" t="n"/>
      <c r="J16" s="116" t="inlineStr">
        <is>
          <t>Provision of pay slip</t>
        </is>
      </c>
      <c r="K16" s="69" t="inlineStr">
        <is>
          <t xml:space="preserve">For each pay period, workers are provided with understandable wage statements that includes sufficient information to verify 
    accurate compensation for work performed </t>
        </is>
      </c>
      <c r="L16" s="209" t="inlineStr">
        <is>
          <r>
            <rPr>
              <rFont val="Calibri"/>
              <b val="1"/>
              <sz val="10"/>
            </rPr>
            <t xml:space="preserve">AUDIT FINDINGS (ENGLISH)
</t>
          </r>
          <r>
            <rPr>
              <rFont val="Calibri"/>
              <sz val="10"/>
            </rPr>
            <t xml:space="preserve">1. The company has not actually paid the remaining salaries to employees upon termination within 14 working days
</t>
          </r>
          <r>
            <rPr>
              <rFont val="Calibri"/>
              <sz val="10"/>
            </rPr>
            <t>
</t>
          </r>
          <r>
            <rPr>
              <rFont val="Calibri"/>
              <b val="1"/>
              <sz val="10"/>
            </rPr>
            <t xml:space="preserve">Legal references:
</t>
          </r>
          <r>
            <rPr>
              <rFont val="Calibri"/>
              <sz val="10"/>
            </rPr>
            <t xml:space="preserve">1. RBA Code of Conduct, Version 8.0.1, Section A4: Wages and Benefits (pay slip)
</t>
          </r>
          <r>
            <rPr>
              <rFont val="Calibri"/>
              <sz val="10"/>
            </rPr>
            <t xml:space="preserve">2. Labor Code No. 45/2019/QH14 (amended 2025), Article 48.1 (all outstanding payments related to each party's interests shall be fully settled within 14 working days from contract termination)
</t>
          </r>
          <r>
            <rPr>
              <rFont val="Calibri"/>
              <sz val="10"/>
            </rPr>
            <t xml:space="preserve">---------------------------------------
</t>
          </r>
          <r>
            <rPr>
              <rFont val="Calibri"/>
              <b val="1"/>
              <sz val="10"/>
            </rPr>
            <t xml:space="preserve">NỘI DUNG ĐÁNH GIÁ (TIẾNG VIỆT)
</t>
          </r>
          <r>
            <rPr>
              <rFont val="Calibri"/>
              <sz val="10"/>
            </rPr>
            <t xml:space="preserve">1. Công ty chưa thực chi trả các khoản tiền lương còn lại cho người lao động khi nghỉ việc trong vòng 14 ngày làm việc
</t>
          </r>
          <r>
            <rPr>
              <rFont val="Calibri"/>
              <sz val="10"/>
            </rPr>
            <t>
</t>
          </r>
          <r>
            <rPr>
              <rFont val="Calibri"/>
              <b val="1"/>
              <sz val="10"/>
            </rPr>
            <t xml:space="preserve">Căn cứ pháp lý:
</t>
          </r>
          <r>
            <rPr>
              <rFont val="Calibri"/>
              <sz val="10"/>
            </rPr>
            <t xml:space="preserve">1. Bộ Quy tắc Ứng xử RBA phiên bản 8.0.1, Mục A4: Tiền lương và phúc lợi (phiếu lương)
</t>
          </r>
          <r>
            <rPr>
              <rFont val="Calibri"/>
              <sz val="10"/>
            </rPr>
            <t>2. Bộ luật Lao động năm 2019 (Luật số 45/2019/QH14, sửa đổi 2025), Điều 48 khoản 1 (thanh toán đầy đủ các khoản tiền có liên quan đến quyền lợi mỗi bên trong 14 ngày làm việc kể từ khi chấm dứt hợp đồng lao động)</t>
          </r>
        </is>
      </c>
      <c r="M16" s="117" t="inlineStr">
        <is>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6" s="38" t="n"/>
      <c r="O16" s="38" t="inlineStr">
        <is>
          <t>O</t>
        </is>
      </c>
      <c r="P16" s="38" t="inlineStr">
        <is>
          <t>O</t>
        </is>
      </c>
      <c r="Q16" s="38" t="inlineStr">
        <is>
          <t>O</t>
        </is>
      </c>
      <c r="R16" s="8" t="inlineStr">
        <is>
          <t>Labor</t>
        </is>
      </c>
      <c r="S16" s="8">
        <f>VLOOKUP(B16&amp;D16&amp;R16,[2]Table!$D:$E,2,0)</f>
        <v/>
      </c>
    </row>
    <row r="17" ht="235.5" customFormat="1" customHeight="1" s="10">
      <c r="A17" s="78" t="inlineStr">
        <is>
          <t>AL4) Wages and Benefits</t>
        </is>
      </c>
      <c r="B17" s="9" t="inlineStr">
        <is>
          <t>AL403</t>
        </is>
      </c>
      <c r="C17" s="20" t="inlineStr">
        <is>
          <t>O</t>
        </is>
      </c>
      <c r="D17" s="33" t="inlineStr">
        <is>
          <t>Conformance</t>
        </is>
      </c>
      <c r="E17" s="8">
        <f>IF(AND(D17&lt;&gt;"Conformance", D17&lt;&gt;"N/A"),"X","")</f>
        <v/>
      </c>
      <c r="F17" s="19" t="inlineStr">
        <is>
          <t>X</t>
        </is>
      </c>
      <c r="G17" s="20" t="inlineStr">
        <is>
          <t>Priority</t>
        </is>
      </c>
      <c r="H17" s="9">
        <f>IF(AND(F17="X",G17=D17),"X",IF(AND(F17="X",G17="Major", D17="Priority"),"X",""))</f>
        <v/>
      </c>
      <c r="I17" s="9" t="inlineStr">
        <is>
          <t>O</t>
        </is>
      </c>
      <c r="J17" s="25" t="inlineStr">
        <is>
          <t>Payment of government or regulatory deductions</t>
        </is>
      </c>
      <c r="K17" s="69" t="inlineStr">
        <is>
          <t xml:space="preserve">Deductions or withholdings are calculated correctly and submitted to the appropriate government agency within the local law time frame </t>
        </is>
      </c>
      <c r="L1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A4: Wages and Benefits (deductions)
</t>
          </r>
          <r>
            <rPr>
              <rFont val="Calibri"/>
              <sz val="10"/>
            </rPr>
            <t xml:space="preserve">2. Labor Code No. 45/2019/QH14 (amended 2025), Article 94.3 (deductions from wages only as prescribed in Article 102)
</t>
          </r>
          <r>
            <rPr>
              <rFont val="Calibri"/>
              <sz val="10"/>
            </rPr>
            <t xml:space="preserve">3. Labor Code No. 45/2019/QH14 (amended 2025), Article 102 (compensation for damage; deduction not exceeding 30% of monthly wage)
</t>
          </r>
          <r>
            <rPr>
              <rFont val="Calibri"/>
              <sz val="10"/>
            </rPr>
            <t xml:space="preserve">4. Decree 12/2022/ND-CP, Article 20 (administrative sanctions on wage payment violations)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A4: Tiền lương và phúc lợi (khấu trừ)
</t>
          </r>
          <r>
            <rPr>
              <rFont val="Calibri"/>
              <sz val="10"/>
            </rPr>
            <t xml:space="preserve">2. Bộ luật Lao động năm 2019 (Luật số 45/2019/QH14, sửa đổi 2025), Điều 94 khoản 3 (chỉ được khấu trừ vào tiền lương theo quy định tại Điều 102)
</t>
          </r>
          <r>
            <rPr>
              <rFont val="Calibri"/>
              <sz val="10"/>
            </rPr>
            <t xml:space="preserve">3. Bộ luật Lao động năm 2019 (Luật số 45/2019/QH14, sửa đổi 2025), Điều 102 (bồi thường thiệt hại; không được khấu trừ quá 30% tiền lương hằng tháng)
</t>
          </r>
          <r>
            <rPr>
              <rFont val="Calibri"/>
              <sz val="10"/>
            </rPr>
            <t>4. Nghị định 12/2022/NĐ-CP, Điều 20 (xử phạt hành chính vi phạm về trả lương)</t>
          </r>
        </is>
      </c>
      <c r="M17" s="69" t="inlineStr">
        <is>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7" s="38" t="n"/>
      <c r="O17" s="38" t="inlineStr">
        <is>
          <t>O</t>
        </is>
      </c>
      <c r="P17" s="38" t="inlineStr">
        <is>
          <t>O</t>
        </is>
      </c>
      <c r="Q17" s="38" t="inlineStr">
        <is>
          <t>O</t>
        </is>
      </c>
      <c r="R17" s="8" t="inlineStr">
        <is>
          <t>Labor</t>
        </is>
      </c>
      <c r="S17" s="8">
        <f>VLOOKUP(B17&amp;D17&amp;R17,[2]Table!$D:$E,2,0)</f>
        <v/>
      </c>
    </row>
    <row r="18" ht="222" customFormat="1" customHeight="1" s="10">
      <c r="A18" s="78" t="inlineStr">
        <is>
          <t>AL5) Non-Discrimination/Humane Treatment</t>
        </is>
      </c>
      <c r="B18" s="9" t="inlineStr">
        <is>
          <t>AL501</t>
        </is>
      </c>
      <c r="C18" s="20" t="inlineStr">
        <is>
          <t>O</t>
        </is>
      </c>
      <c r="D18" s="33" t="inlineStr">
        <is>
          <t>Conformance</t>
        </is>
      </c>
      <c r="E18" s="8">
        <f>IF(AND(D18&lt;&gt;"Conformance", D18&lt;&gt;"N/A"),"X","")</f>
        <v/>
      </c>
      <c r="F18" s="19" t="inlineStr">
        <is>
          <t>X</t>
        </is>
      </c>
      <c r="G18" s="20" t="inlineStr">
        <is>
          <t>Priority</t>
        </is>
      </c>
      <c r="H18" s="9">
        <f>IF(AND(F18="X",G18=D18),"X",IF(AND(F18="X",G18="Major", D18="Priority"),"X",""))</f>
        <v/>
      </c>
      <c r="I18" s="9" t="inlineStr">
        <is>
          <t>O</t>
        </is>
      </c>
      <c r="J18" s="25" t="inlineStr">
        <is>
          <t>Prohibition of discrimination, harassment, inhumane treatment</t>
        </is>
      </c>
      <c r="K18" s="69" t="inlineStr">
        <is>
          <t>No evidence of discrimination, harassment, inhumane treatment, or threat of these exists</t>
        </is>
      </c>
      <c r="L1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Non-Harassment / Humane Treatment
</t>
          </r>
          <r>
            <rPr>
              <rFont val="Calibri"/>
              <sz val="10"/>
            </rPr>
            <t xml:space="preserve">2. Labor Code No. 45/2019/QH14 (amended 2025), Article 8.2, 8.7 (prohibition of coercion and of sexual harassment in the workplace)
</t>
          </r>
          <r>
            <rPr>
              <rFont val="Calibri"/>
              <sz val="10"/>
            </rPr>
            <t xml:space="preserve">3. Labor Code No. 45/2019/QH14 (amended 2025), Article 183 (gender equality in the workplace)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Quấy rối / Đối xử nhân đạo
</t>
          </r>
          <r>
            <rPr>
              <rFont val="Calibri"/>
              <sz val="10"/>
            </rPr>
            <t xml:space="preserve">2. Bộ luật Lao động năm 2019 (Luật số 45/2019/QH14, sửa đổi 2025), Điều 8 khoản 2, khoản 7 (nghiêm cấm lừa dối, ép buộc, trù dập; nghiêm cấm quấy rối tình dục tại nơi làm việc)
</t>
          </r>
          <r>
            <rPr>
              <rFont val="Calibri"/>
              <sz val="10"/>
            </rPr>
            <t>3. Bộ luật Lao động năm 2019 (Luật số 45/2019/QH14, sửa đổi 2025), Điều 183 (bảo đảm bình đẳng giới tại nơi làm việc)</t>
          </r>
        </is>
      </c>
      <c r="M18" s="69" t="inlineStr">
        <is>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8" s="38" t="inlineStr">
        <is>
          <t>O</t>
        </is>
      </c>
      <c r="O18" s="38" t="inlineStr">
        <is>
          <t>O</t>
        </is>
      </c>
      <c r="P18" s="38" t="inlineStr">
        <is>
          <t>O</t>
        </is>
      </c>
      <c r="Q18" s="38" t="inlineStr">
        <is>
          <t>O</t>
        </is>
      </c>
      <c r="R18" s="8" t="inlineStr">
        <is>
          <t>Labor</t>
        </is>
      </c>
      <c r="S18" s="8">
        <f>VLOOKUP(B18&amp;D18&amp;R18,[2]Table!$D:$E,2,0)</f>
        <v/>
      </c>
    </row>
    <row r="19" ht="195" customFormat="1" customHeight="1" s="10">
      <c r="A19" s="78" t="inlineStr">
        <is>
          <t>AL5) Non-Discrimination/Humane Treatment</t>
        </is>
      </c>
      <c r="B19" s="9" t="inlineStr">
        <is>
          <t>AL502</t>
        </is>
      </c>
      <c r="C19" s="20" t="inlineStr">
        <is>
          <t>O</t>
        </is>
      </c>
      <c r="D19" s="33" t="inlineStr">
        <is>
          <t>Conformance</t>
        </is>
      </c>
      <c r="E19" s="8">
        <f>IF(AND(D19&lt;&gt;"Conformance", D19&lt;&gt;"N/A"),"X","")</f>
        <v/>
      </c>
      <c r="F19" s="19" t="n"/>
      <c r="G19" s="20" t="n"/>
      <c r="H19" s="9">
        <f>IF(AND(F19="X",G19=D19),"X",IF(AND(F19="X",G19="Major", D19="Priority"),"X",""))</f>
        <v/>
      </c>
      <c r="I19" s="9" t="n"/>
      <c r="J19" s="26" t="inlineStr">
        <is>
          <t>Recording and managing disciplinary actions</t>
        </is>
      </c>
      <c r="K19" s="69" t="inlineStr">
        <is>
          <t>Disciplinary actions are recorded and reviewed by management</t>
        </is>
      </c>
      <c r="L1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(disciplinary actions)
</t>
          </r>
          <r>
            <rPr>
              <rFont val="Calibri"/>
              <sz val="10"/>
            </rPr>
            <t xml:space="preserve">2. Labor Code No. 45/2019/QH14 (amended 2025), Article 118 (internal labor regulations)
</t>
          </r>
          <r>
            <rPr>
              <rFont val="Calibri"/>
              <sz val="10"/>
            </rPr>
            <t xml:space="preserve">3. Labor Code No. 45/2019/QH14 (amended 2025), Article 125 (forms of disciplinary action)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(kỷ luật)
</t>
          </r>
          <r>
            <rPr>
              <rFont val="Calibri"/>
              <sz val="10"/>
            </rPr>
            <t xml:space="preserve">2. Bộ luật Lao động năm 2019 (Luật số 45/2019/QH14, sửa đổi 2025), Điều 118 (nội quy lao động)
</t>
          </r>
          <r>
            <rPr>
              <rFont val="Calibri"/>
              <sz val="10"/>
            </rPr>
            <t>3. Bộ luật Lao động năm 2019 (Luật số 45/2019/QH14, sửa đổi 2025), Điều 125 (các hình thức xử lý kỷ luật lao động)</t>
          </r>
        </is>
      </c>
      <c r="M19" s="69" t="inlineStr">
        <is>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9" s="38" t="n"/>
      <c r="O19" s="38" t="inlineStr">
        <is>
          <t>O</t>
        </is>
      </c>
      <c r="P19" s="38" t="inlineStr">
        <is>
          <t>O</t>
        </is>
      </c>
      <c r="Q19" s="38" t="inlineStr">
        <is>
          <t>O</t>
        </is>
      </c>
      <c r="R19" s="8" t="inlineStr">
        <is>
          <t>Labor</t>
        </is>
      </c>
      <c r="S19" s="8">
        <f>VLOOKUP(B19&amp;D19&amp;R19,[2]Table!$D:$E,2,0)</f>
        <v/>
      </c>
    </row>
    <row r="20" ht="154.5" customFormat="1" customHeight="1" s="10">
      <c r="A20" s="78" t="inlineStr">
        <is>
          <t>AL5) Non-Discrimination/Humane Treatment</t>
        </is>
      </c>
      <c r="B20" s="9" t="inlineStr">
        <is>
          <t>AL503</t>
        </is>
      </c>
      <c r="C20" s="20" t="inlineStr">
        <is>
          <t>O</t>
        </is>
      </c>
      <c r="D20" s="33" t="inlineStr">
        <is>
          <t>Conformance</t>
        </is>
      </c>
      <c r="E20" s="8">
        <f>IF(AND(D20&lt;&gt;"Conformance", D20&lt;&gt;"N/A"),"X","")</f>
        <v/>
      </c>
      <c r="F20" s="19" t="n"/>
      <c r="G20" s="20" t="n"/>
      <c r="H20" s="9">
        <f>IF(AND(F20="X",G20=D20),"X",IF(AND(F20="X",G20="Major", D20="Priority"),"X",""))</f>
        <v/>
      </c>
      <c r="I20" s="9" t="n"/>
      <c r="J20" s="26" t="inlineStr">
        <is>
          <t>Provision of prayer space(applicable religion)</t>
        </is>
      </c>
      <c r="K20" s="69" t="inlineStr">
        <is>
          <t xml:space="preserve">Reasonable accommodation for religious practices is provided </t>
        </is>
      </c>
      <c r="L2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(religious accommodation)
</t>
          </r>
          <r>
            <rPr>
              <rFont val="Calibri"/>
              <sz val="10"/>
            </rPr>
            <t xml:space="preserve">2. Law on Belief and Religion 2016, Article 6 (freedom of belief and religion)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(tôn giáo)
</t>
          </r>
          <r>
            <rPr>
              <rFont val="Calibri"/>
              <sz val="10"/>
            </rPr>
            <t>2. Luật Tín ngưỡng, tôn giáo 2016, Điều 6 (quyền tự do tín ngưỡng, tôn giáo)</t>
          </r>
        </is>
      </c>
      <c r="M20" s="69" t="inlineStr">
        <is>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0" s="38" t="inlineStr">
        <is>
          <t>O</t>
        </is>
      </c>
      <c r="O20" s="38" t="inlineStr">
        <is>
          <t>O</t>
        </is>
      </c>
      <c r="P20" s="38" t="inlineStr">
        <is>
          <t>O</t>
        </is>
      </c>
      <c r="Q20" s="38" t="inlineStr">
        <is>
          <t>O</t>
        </is>
      </c>
      <c r="R20" s="8" t="inlineStr">
        <is>
          <t>Labor</t>
        </is>
      </c>
      <c r="S20" s="8">
        <f>VLOOKUP(B20&amp;D20&amp;R20,[2]Table!$D:$E,2,0)</f>
        <v/>
      </c>
    </row>
    <row r="21" ht="154.5" customFormat="1" customHeight="1" s="10">
      <c r="A21" s="78" t="inlineStr">
        <is>
          <t>AL5) Non-Discrimination/Humane Treatment</t>
        </is>
      </c>
      <c r="B21" s="9" t="inlineStr">
        <is>
          <t>AL504</t>
        </is>
      </c>
      <c r="C21" s="20" t="inlineStr">
        <is>
          <t>O</t>
        </is>
      </c>
      <c r="D21" s="33" t="inlineStr">
        <is>
          <t>Conformance</t>
        </is>
      </c>
      <c r="E21" s="8">
        <f>IF(AND(D21&lt;&gt;"Conformance", D21&lt;&gt;"N/A"),"X","")</f>
        <v/>
      </c>
      <c r="F21" s="19" t="n"/>
      <c r="G21" s="20" t="n"/>
      <c r="H21" s="9">
        <f>IF(AND(F21="X",G21=D21),"X",IF(AND(F21="X",G21="Major", D21="Priority"),"X",""))</f>
        <v/>
      </c>
      <c r="I21" s="9" t="n"/>
      <c r="J21" s="26" t="inlineStr">
        <is>
          <t>Provision of disability accomodation</t>
        </is>
      </c>
      <c r="K21" s="69" t="inlineStr">
        <is>
          <t>Reasonable accommodation for disability is provided</t>
        </is>
      </c>
      <c r="L21"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(disability accommodation)
</t>
          </r>
          <r>
            <rPr>
              <rFont val="Calibri"/>
              <sz val="10"/>
            </rPr>
            <t xml:space="preserve">2. Law on Persons with Disabilities 2010, Article 16 (right to work)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(người khuyết tật)
</t>
          </r>
          <r>
            <rPr>
              <rFont val="Calibri"/>
              <sz val="10"/>
            </rPr>
            <t>2. Luật Người khuyết tật 2010, Điều 16 (quyền làm việc của người khuyết tật)</t>
          </r>
        </is>
      </c>
      <c r="M21" s="69" t="inlineStr">
        <is>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1" s="38" t="inlineStr">
        <is>
          <t>O</t>
        </is>
      </c>
      <c r="O21" s="38" t="inlineStr">
        <is>
          <t>O</t>
        </is>
      </c>
      <c r="P21" s="38" t="inlineStr">
        <is>
          <t>O</t>
        </is>
      </c>
      <c r="Q21" s="38" t="inlineStr">
        <is>
          <t>O</t>
        </is>
      </c>
      <c r="R21" s="8" t="inlineStr">
        <is>
          <t>Labor</t>
        </is>
      </c>
      <c r="S21" s="8">
        <f>VLOOKUP(B21&amp;D21&amp;R21,[2]Table!$D:$E,2,0)</f>
        <v/>
      </c>
    </row>
    <row r="22" ht="141" customFormat="1" customHeight="1" s="10">
      <c r="A22" s="78" t="inlineStr">
        <is>
          <t>AL6) Freedom of Association and Collective Bargaining</t>
        </is>
      </c>
      <c r="B22" s="9" t="inlineStr">
        <is>
          <t>AL601</t>
        </is>
      </c>
      <c r="C22" s="20" t="inlineStr">
        <is>
          <t>O</t>
        </is>
      </c>
      <c r="D22" s="33" t="inlineStr">
        <is>
          <t>Conformance</t>
        </is>
      </c>
      <c r="E22" s="8">
        <f>IF(AND(D22&lt;&gt;"Conformance", D22&lt;&gt;"N/A"),"X","")</f>
        <v/>
      </c>
      <c r="F22" s="19" t="n"/>
      <c r="G22" s="20" t="n"/>
      <c r="H22" s="9">
        <f>IF(AND(F22="X",G22=D22),"X",IF(AND(F22="X",G22="Major", D22="Priority"),"X",""))</f>
        <v/>
      </c>
      <c r="I22" s="9" t="n"/>
      <c r="J22" s="26" t="inlineStr">
        <is>
          <t>Enrolling in a trade union of worker’s own free will</t>
        </is>
      </c>
      <c r="K22" s="9" t="inlineStr">
        <is>
          <t>Workers can form or enroll in a trade union of their own free will</t>
        </is>
      </c>
      <c r="L22"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(trade union)
</t>
          </r>
          <r>
            <rPr>
              <rFont val="Calibri"/>
              <sz val="10"/>
            </rPr>
            <t xml:space="preserve">2. Law on Trade Unions 2012, Article 6 (right to establish, join and operate trade unions)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(công đoàn)
</t>
          </r>
          <r>
            <rPr>
              <rFont val="Calibri"/>
              <sz val="10"/>
            </rPr>
            <t>2. Luật Công đoàn 2012, Điều 6 (quyền thành lập, gia nhập và hoạt động công đoàn)</t>
          </r>
        </is>
      </c>
      <c r="M22" s="69" t="inlineStr">
        <is>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2" s="38" t="inlineStr">
        <is>
          <t>O</t>
        </is>
      </c>
      <c r="O22" s="38" t="inlineStr">
        <is>
          <t>O</t>
        </is>
      </c>
      <c r="P22" s="38" t="inlineStr">
        <is>
          <t>O</t>
        </is>
      </c>
      <c r="Q22" s="38" t="inlineStr">
        <is>
          <t>O</t>
        </is>
      </c>
      <c r="R22" s="8" t="inlineStr">
        <is>
          <t>Labor</t>
        </is>
      </c>
      <c r="S22" s="8">
        <f>VLOOKUP(B22&amp;D22&amp;R22,[2]Table!$D:$E,2,0)</f>
        <v/>
      </c>
    </row>
    <row r="23" ht="195" customFormat="1" customHeight="1" s="10">
      <c r="A23" s="78" t="inlineStr">
        <is>
          <t>AL6) Freedom of Association and Collective Bargaining</t>
        </is>
      </c>
      <c r="B23" s="9" t="inlineStr">
        <is>
          <t>AL602</t>
        </is>
      </c>
      <c r="C23" s="20" t="inlineStr">
        <is>
          <t>O</t>
        </is>
      </c>
      <c r="D23" s="33" t="inlineStr">
        <is>
          <t>Conformance</t>
        </is>
      </c>
      <c r="E23" s="8">
        <f>IF(AND(D23&lt;&gt;"Conformance", D23&lt;&gt;"N/A"),"X","")</f>
        <v/>
      </c>
      <c r="F23" s="19" t="n"/>
      <c r="G23" s="20" t="n"/>
      <c r="H23" s="9">
        <f>IF(AND(F23="X",G23=D23),"X",IF(AND(F23="X",G23="Major", D23="Priority"),"X",""))</f>
        <v/>
      </c>
      <c r="I23" s="9" t="n"/>
      <c r="J23" s="26" t="inlineStr">
        <is>
          <t>Guarantee of the right of collective bargaining</t>
        </is>
      </c>
      <c r="K23" s="69" t="inlineStr">
        <is>
          <t xml:space="preserve">Legal rights of all workers to bargain collectively, or refrain from doing so, are respected </t>
        </is>
      </c>
      <c r="L23"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
          </r>
          <r>
            <rPr>
              <rFont val="Calibri"/>
              <sz val="10"/>
            </rPr>
            <t xml:space="preserve">2. Labor Code No. 45/2019/QH14 (amended 2025), Articles 67-70 (workplace dialogue; collective labor agreement)
</t>
          </r>
          <r>
            <rPr>
              <rFont val="Calibri"/>
              <sz val="10"/>
            </rPr>
            <t xml:space="preserve">3. Labor Code No. 45/2019/QH14 (amended 2025), Article 73 (collective bargaining)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và thương lượng tập thể
</t>
          </r>
          <r>
            <rPr>
              <rFont val="Calibri"/>
              <sz val="10"/>
            </rPr>
            <t xml:space="preserve">2. Bộ luật Lao động năm 2019 (Luật số 45/2019/QH14, sửa đổi 2025), Điều 67-70 (đối thoại tại nơi làm việc; thỏa ước lao động tập thể)
</t>
          </r>
          <r>
            <rPr>
              <rFont val="Calibri"/>
              <sz val="10"/>
            </rPr>
            <t>3. Bộ luật Lao động năm 2019 (Luật số 45/2019/QH14, sửa đổi 2025), Điều 73 (đàm phán tập thể)</t>
          </r>
        </is>
      </c>
      <c r="M23" s="69" t="inlineStr">
        <is>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3" s="38" t="inlineStr">
        <is>
          <t>O</t>
        </is>
      </c>
      <c r="O23" s="38" t="inlineStr">
        <is>
          <t>O</t>
        </is>
      </c>
      <c r="P23" s="38" t="inlineStr">
        <is>
          <t>O</t>
        </is>
      </c>
      <c r="Q23" s="38" t="inlineStr">
        <is>
          <t>O</t>
        </is>
      </c>
      <c r="R23" s="8" t="inlineStr">
        <is>
          <t>Labor</t>
        </is>
      </c>
      <c r="S23" s="8">
        <f>VLOOKUP(B23&amp;D23&amp;R23,[2]Table!$D:$E,2,0)</f>
        <v/>
      </c>
    </row>
    <row r="24" ht="141" customFormat="1" customHeight="1" s="10">
      <c r="A24" s="78" t="inlineStr">
        <is>
          <t>AL6) Freedom of Association and Collective Bargaining</t>
        </is>
      </c>
      <c r="B24" s="9" t="inlineStr">
        <is>
          <t>AL603</t>
        </is>
      </c>
      <c r="C24" s="20" t="inlineStr">
        <is>
          <t>O</t>
        </is>
      </c>
      <c r="D24" s="33" t="inlineStr">
        <is>
          <t>Conformance</t>
        </is>
      </c>
      <c r="E24" s="8">
        <f>IF(AND(D24&lt;&gt;"Conformance", D24&lt;&gt;"N/A"),"X","")</f>
        <v/>
      </c>
      <c r="F24" s="19" t="n"/>
      <c r="G24" s="20" t="n"/>
      <c r="H24" s="9">
        <f>IF(AND(F24="X",G24=D24),"X",IF(AND(F24="X",G24="Major", D24="Priority"),"X",""))</f>
        <v/>
      </c>
      <c r="I24" s="9" t="n"/>
      <c r="J24" s="26" t="inlineStr">
        <is>
          <t>Guarantee of the right of peaceful assembly</t>
        </is>
      </c>
      <c r="K24" s="69" t="inlineStr">
        <is>
          <t>Participants respect the legal right of all workers to peacefully assemble</t>
        </is>
      </c>
      <c r="L2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(peaceful assembly)
</t>
          </r>
          <r>
            <rPr>
              <rFont val="Calibri"/>
              <sz val="10"/>
            </rPr>
            <t xml:space="preserve">2. Constitution 2013, Article 25 (freedom of speech, press, assembly and association)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(họp hành hòa bình)
</t>
          </r>
          <r>
            <rPr>
              <rFont val="Calibri"/>
              <sz val="10"/>
            </rPr>
            <t>2. Hiến pháp 2013, Điều 25 (quyền tự do ngôn luận, báo chí, hội họp, lập hội)</t>
          </r>
        </is>
      </c>
      <c r="M24" s="69" t="inlineStr">
        <is>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4" s="38" t="inlineStr">
        <is>
          <t>O</t>
        </is>
      </c>
      <c r="O24" s="38" t="inlineStr">
        <is>
          <t>O</t>
        </is>
      </c>
      <c r="P24" s="38" t="inlineStr">
        <is>
          <t>O</t>
        </is>
      </c>
      <c r="Q24" s="38" t="inlineStr">
        <is>
          <t>O</t>
        </is>
      </c>
      <c r="R24" s="8" t="inlineStr">
        <is>
          <t>Labor</t>
        </is>
      </c>
      <c r="S24" s="8">
        <f>VLOOKUP(B24&amp;D24&amp;R24,[2]Table!$D:$E,2,0)</f>
        <v/>
      </c>
    </row>
    <row r="25" ht="109.35" customFormat="1" customHeight="1" s="10">
      <c r="A25" s="78" t="inlineStr">
        <is>
          <t>AM1) Risk Assessment</t>
        </is>
      </c>
      <c r="B25" s="9" t="inlineStr">
        <is>
          <t>AM101</t>
        </is>
      </c>
      <c r="C25" s="20" t="inlineStr">
        <is>
          <t>O</t>
        </is>
      </c>
      <c r="D25" s="33" t="inlineStr">
        <is>
          <t>Conformance</t>
        </is>
      </c>
      <c r="E25" s="8">
        <f>IF(AND(D25&lt;&gt;"Conformance", D25&lt;&gt;"N/A"),"X","")</f>
        <v/>
      </c>
      <c r="F25" s="19" t="n"/>
      <c r="G25" s="20" t="n"/>
      <c r="H25" s="9">
        <f>IF(AND(F25="X",G25=D25),"X",IF(AND(F25="X",G25="Major", D25="Priority"),"X",""))</f>
        <v/>
      </c>
      <c r="I25" s="9" t="n"/>
      <c r="J25" s="26" t="inlineStr">
        <is>
          <t>Compliance process of Legal/Customer Requirements</t>
        </is>
      </c>
      <c r="K25" s="69" t="inlineStr">
        <is>
          <t xml:space="preserve">An adequate and effective labor compliance process is established to monitor, identify, understand, and ensure compliance with  applicable
     laws, regulations, and customer requirements
</t>
        </is>
      </c>
      <c r="L25"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A.M.1.1: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A.M.1.1: Hệ thống quản lý lao động</t>
          </r>
        </is>
      </c>
      <c r="M25" s="117" t="inlineStr">
        <is>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5" s="38" t="n"/>
      <c r="O25" s="38" t="inlineStr">
        <is>
          <t>O</t>
        </is>
      </c>
      <c r="P25" s="38" t="inlineStr">
        <is>
          <t>O</t>
        </is>
      </c>
      <c r="Q25" s="38" t="inlineStr">
        <is>
          <t>O</t>
        </is>
      </c>
      <c r="R25" s="8" t="inlineStr">
        <is>
          <t>Labor</t>
        </is>
      </c>
      <c r="S25" s="8">
        <f>VLOOKUP(B25&amp;D25&amp;R25,[2]Table!$D:$E,2,0)</f>
        <v/>
      </c>
    </row>
    <row r="26" ht="109.35" customFormat="1" customHeight="1" s="10">
      <c r="A26" s="78" t="inlineStr">
        <is>
          <t>AM1) Risk Assessment</t>
        </is>
      </c>
      <c r="B26" s="9" t="inlineStr">
        <is>
          <t>AM102</t>
        </is>
      </c>
      <c r="C26" s="20" t="inlineStr">
        <is>
          <t>O</t>
        </is>
      </c>
      <c r="D26" s="33" t="inlineStr">
        <is>
          <t>Conformance</t>
        </is>
      </c>
      <c r="E26" s="8">
        <f>IF(AND(D26&lt;&gt;"Conformance", D26&lt;&gt;"N/A"),"X","")</f>
        <v/>
      </c>
      <c r="F26" s="19" t="n"/>
      <c r="G26" s="20" t="n"/>
      <c r="H26" s="9">
        <f>IF(AND(F26="X",G26=D26),"X",IF(AND(F26="X",G26="Major", D26="Priority"),"X",""))</f>
        <v/>
      </c>
      <c r="I26" s="9" t="n"/>
      <c r="J26" s="26" t="inlineStr">
        <is>
          <t>Due diligence Process</t>
        </is>
      </c>
      <c r="K26" s="25" t="inlineStr">
        <is>
          <t xml:space="preserve">An adequate and effective due diligence process is established to identify and assess the most significant actual and potential  labor risks 
     where the facility caused or contributed to adverse labor impacts (including applicable requirements).
</t>
        </is>
      </c>
      <c r="L26"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A.M.1.2: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A.M.1.2: Hệ thống quản lý lao động</t>
          </r>
        </is>
      </c>
      <c r="M26" s="117" t="inlineStr">
        <is>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6" s="38" t="n"/>
      <c r="O26" s="38" t="inlineStr">
        <is>
          <t>O</t>
        </is>
      </c>
      <c r="P26" s="38" t="inlineStr">
        <is>
          <t>O</t>
        </is>
      </c>
      <c r="Q26" s="38" t="inlineStr">
        <is>
          <t>O</t>
        </is>
      </c>
      <c r="R26" s="8" t="inlineStr">
        <is>
          <t>Labor</t>
        </is>
      </c>
      <c r="S26" s="8">
        <f>VLOOKUP(B26&amp;D26&amp;R26,[2]Table!$D:$E,2,0)</f>
        <v/>
      </c>
    </row>
    <row r="27" ht="109.35" customFormat="1" customHeight="1" s="10">
      <c r="A27" s="78" t="inlineStr">
        <is>
          <t>AM2) Control processes</t>
        </is>
      </c>
      <c r="B27" s="9" t="inlineStr">
        <is>
          <t>AM201</t>
        </is>
      </c>
      <c r="C27" s="20" t="inlineStr">
        <is>
          <t>O</t>
        </is>
      </c>
      <c r="D27" s="33" t="inlineStr">
        <is>
          <t>Conformance</t>
        </is>
      </c>
      <c r="E27" s="8">
        <f>IF(AND(D27&lt;&gt;"Conformance", D27&lt;&gt;"N/A"),"X","")</f>
        <v/>
      </c>
      <c r="F27" s="19" t="n"/>
      <c r="G27" s="20" t="n"/>
      <c r="H27" s="9">
        <f>IF(AND(F27="X",G27=D27),"X",IF(AND(F27="X",G27="Major", D27="Priority"),"X",""))</f>
        <v/>
      </c>
      <c r="I27" s="9" t="n"/>
      <c r="J27" s="26" t="inlineStr">
        <is>
          <t>Assigning responsibilities and authorities for all workers(Senior manager to workers)</t>
        </is>
      </c>
      <c r="K27" s="25" t="inlineStr">
        <is>
          <t>Labor responsibilities and authorities are adequately and effectively defined and assigned for all employee levels (senior  managers to workers) 
     for the implementation of management systems, and for compliance with laws, regulations, and codes</t>
        </is>
      </c>
      <c r="L2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A.M.2.1: Hệ thống quản lý lao động</t>
          </r>
        </is>
      </c>
      <c r="M27"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7" s="38" t="n"/>
      <c r="O27" s="38" t="inlineStr">
        <is>
          <t>O</t>
        </is>
      </c>
      <c r="P27" s="38" t="inlineStr">
        <is>
          <t>O</t>
        </is>
      </c>
      <c r="Q27" s="38" t="inlineStr">
        <is>
          <t>O</t>
        </is>
      </c>
      <c r="R27" s="8" t="inlineStr">
        <is>
          <t>Labor</t>
        </is>
      </c>
      <c r="S27" s="8">
        <f>VLOOKUP(B27&amp;D27&amp;R27,[2]Table!$D:$E,2,0)</f>
        <v/>
      </c>
    </row>
    <row r="28" ht="222" customFormat="1" customHeight="1" s="10">
      <c r="A28" s="78" t="inlineStr">
        <is>
          <t>AM2) Control processes</t>
        </is>
      </c>
      <c r="B28" s="9" t="inlineStr">
        <is>
          <t>AM202</t>
        </is>
      </c>
      <c r="C28" s="20" t="inlineStr">
        <is>
          <t>O</t>
        </is>
      </c>
      <c r="D28" s="33" t="inlineStr">
        <is>
          <t>Minor</t>
        </is>
      </c>
      <c r="E28" s="8">
        <f>IF(AND(D28&lt;&gt;"Conformance", D28&lt;&gt;"N/A"),"X","")</f>
        <v/>
      </c>
      <c r="F28" s="19" t="n"/>
      <c r="G28" s="20" t="n"/>
      <c r="H28" s="9">
        <f>IF(AND(F28="X",G28=D28),"X",IF(AND(F28="X",G28="Major", D28="Priority"),"X",""))</f>
        <v/>
      </c>
      <c r="I28" s="9" t="n"/>
      <c r="J28" s="26" t="inlineStr">
        <is>
          <t>Policies and Control Process</t>
        </is>
      </c>
      <c r="K28" s="25" t="inlineStr">
        <is>
          <t>Adequate and effective labor policies and control processes are established</t>
        </is>
      </c>
      <c r="L28" s="209" t="inlineStr">
        <is>
          <r>
            <rPr>
              <rFont val="Calibri"/>
              <b val="1"/>
              <sz val="10"/>
            </rPr>
            <t xml:space="preserve">AUDIT FINDINGS (ENGLISH)
</t>
          </r>
          <r>
            <rPr>
              <rFont val="Calibri"/>
              <sz val="10"/>
            </rPr>
            <t xml:space="preserve">1. The company did not effectively control working time, leading to violations of weekly holidays
</t>
          </r>
          <r>
            <rPr>
              <rFont val="Calibri"/>
              <sz val="10"/>
            </rPr>
            <t>
</t>
          </r>
          <r>
            <rPr>
              <rFont val="Calibri"/>
              <b val="1"/>
              <sz val="10"/>
            </rPr>
            <t xml:space="preserve">Legal references:
</t>
          </r>
          <r>
            <rPr>
              <rFont val="Calibri"/>
              <sz val="10"/>
            </rPr>
            <t xml:space="preserve">1. RBA Code of Conduct, Version 8.0.1, Section A.M.2.2: Labor Management System
</t>
          </r>
          <r>
            <rPr>
              <rFont val="Calibri"/>
              <sz val="10"/>
            </rPr>
            <t xml:space="preserve">2. Labor Code No. 45/2019/QH14 (amended 2025),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Công ty chưa kiểm soát hiệu quả thời gian làm việc dẫn đến vi phạm lỗi ngày nghỉ tuần
</t>
          </r>
          <r>
            <rPr>
              <rFont val="Calibri"/>
              <sz val="10"/>
            </rPr>
            <t>
</t>
          </r>
          <r>
            <rPr>
              <rFont val="Calibri"/>
              <b val="1"/>
              <sz val="10"/>
            </rPr>
            <t xml:space="preserve">Căn cứ pháp lý:
</t>
          </r>
          <r>
            <rPr>
              <rFont val="Calibri"/>
              <sz val="10"/>
            </rPr>
            <t xml:space="preserve">1. Bộ Quy tắc Ứng xử RBA phiên bản 8.0.1, Mục A.M.2.2: Hệ thống quản lý lao động
</t>
          </r>
          <r>
            <rPr>
              <rFont val="Calibri"/>
              <sz val="10"/>
            </rPr>
            <t>2. Bộ luật Lao động năm 2019 (Luật số 45/2019/QH14, sửa đổi 2025), Điều 111 (nghỉ hàng tuần: ít nhất 24 giờ liên tục mỗi tuần)</t>
          </r>
        </is>
      </c>
      <c r="M28" s="117" t="inlineStr">
        <is>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8" s="38" t="inlineStr">
        <is>
          <t>O</t>
        </is>
      </c>
      <c r="O28" s="38" t="inlineStr">
        <is>
          <t>O</t>
        </is>
      </c>
      <c r="P28" s="38" t="inlineStr">
        <is>
          <t>O</t>
        </is>
      </c>
      <c r="Q28" s="38" t="inlineStr">
        <is>
          <t>O</t>
        </is>
      </c>
      <c r="R28" s="8" t="inlineStr">
        <is>
          <t>Labor</t>
        </is>
      </c>
      <c r="S28" s="8">
        <f>VLOOKUP(B28&amp;D28&amp;R28,[2]Table!$D:$E,2,0)</f>
        <v/>
      </c>
    </row>
    <row r="29" ht="109.35" customFormat="1" customHeight="1" s="10">
      <c r="A29" s="78" t="inlineStr">
        <is>
          <t>AM2) Control processes</t>
        </is>
      </c>
      <c r="B29" s="9" t="inlineStr">
        <is>
          <t>AM203</t>
        </is>
      </c>
      <c r="C29" s="20" t="inlineStr">
        <is>
          <t>O</t>
        </is>
      </c>
      <c r="D29" s="33" t="inlineStr">
        <is>
          <t>Conformance</t>
        </is>
      </c>
      <c r="E29" s="8">
        <f>IF(AND(D29&lt;&gt;"Conformance", D29&lt;&gt;"N/A"),"X","")</f>
        <v/>
      </c>
      <c r="F29" s="19" t="n"/>
      <c r="G29" s="20" t="n"/>
      <c r="H29" s="9">
        <f>IF(AND(F29="X",G29=D29),"X",IF(AND(F29="X",G29="Major", D29="Priority"),"X",""))</f>
        <v/>
      </c>
      <c r="I29" s="9" t="n"/>
      <c r="J29" s="26" t="inlineStr">
        <is>
          <t>Training process</t>
        </is>
      </c>
      <c r="K29" s="9" t="inlineStr">
        <is>
          <t>An adequate and effective labor training process is established for all managers/workers on all policy/process/job-related  aspects and performance targets</t>
        </is>
      </c>
      <c r="L29"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A.M.2.3: Hệ thống quản lý lao động</t>
          </r>
        </is>
      </c>
      <c r="M29"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9" s="38" t="n"/>
      <c r="O29" s="38" t="inlineStr">
        <is>
          <t>O</t>
        </is>
      </c>
      <c r="P29" s="38" t="inlineStr">
        <is>
          <t>O</t>
        </is>
      </c>
      <c r="Q29" s="38" t="inlineStr">
        <is>
          <t>O</t>
        </is>
      </c>
      <c r="R29" s="8" t="inlineStr">
        <is>
          <t>Labor</t>
        </is>
      </c>
      <c r="S29" s="8">
        <f>VLOOKUP(B29&amp;D29&amp;R29,[2]Table!$D:$E,2,0)</f>
        <v/>
      </c>
    </row>
    <row r="30" ht="109.35" customFormat="1" customHeight="1" s="10">
      <c r="A30" s="78" t="inlineStr">
        <is>
          <t>AM3) Communications</t>
        </is>
      </c>
      <c r="B30" s="9" t="inlineStr">
        <is>
          <t>AM301</t>
        </is>
      </c>
      <c r="C30" s="20" t="inlineStr">
        <is>
          <t>O</t>
        </is>
      </c>
      <c r="D30" s="33" t="inlineStr">
        <is>
          <t>Conformance</t>
        </is>
      </c>
      <c r="E30" s="8">
        <f>IF(AND(D30&lt;&gt;"Conformance", D30&lt;&gt;"N/A"),"X","")</f>
        <v/>
      </c>
      <c r="F30" s="19" t="n"/>
      <c r="G30" s="20" t="n"/>
      <c r="H30" s="9">
        <f>IF(AND(F30="X",G30=D30),"X",IF(AND(F30="X",G30="Major", D30="Priority"),"X",""))</f>
        <v/>
      </c>
      <c r="I30" s="9" t="n"/>
      <c r="J30" s="26" t="inlineStr">
        <is>
          <t>Worker, stakeholder communication</t>
        </is>
      </c>
      <c r="K30" s="9" t="inlineStr">
        <is>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is>
      </c>
      <c r="L30"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A.M.3.1: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A.M.3.1: Hệ thống quản lý lao động</t>
          </r>
        </is>
      </c>
      <c r="M30"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0" s="38" t="inlineStr">
        <is>
          <t>O</t>
        </is>
      </c>
      <c r="O30" s="38" t="inlineStr">
        <is>
          <t>O</t>
        </is>
      </c>
      <c r="P30" s="38" t="inlineStr">
        <is>
          <t>O</t>
        </is>
      </c>
      <c r="Q30" s="38" t="inlineStr">
        <is>
          <t>O</t>
        </is>
      </c>
      <c r="R30" s="8" t="inlineStr">
        <is>
          <t>Labor</t>
        </is>
      </c>
      <c r="S30" s="8">
        <f>VLOOKUP(B30&amp;D30&amp;R30,[2]Table!$D:$E,2,0)</f>
        <v/>
      </c>
    </row>
    <row r="31" ht="85.2" customFormat="1" customHeight="1" s="10">
      <c r="A31" s="78" t="inlineStr">
        <is>
          <t>AM3) Communications</t>
        </is>
      </c>
      <c r="B31" s="9" t="inlineStr">
        <is>
          <t>AM302</t>
        </is>
      </c>
      <c r="C31" s="20" t="inlineStr">
        <is>
          <t>O</t>
        </is>
      </c>
      <c r="D31" s="33" t="inlineStr">
        <is>
          <t>Conformance</t>
        </is>
      </c>
      <c r="E31" s="8">
        <f>IF(AND(D31&lt;&gt;"Conformance", D31&lt;&gt;"N/A"),"X","")</f>
        <v/>
      </c>
      <c r="F31" s="19" t="n"/>
      <c r="G31" s="20" t="n"/>
      <c r="H31" s="9">
        <f>IF(AND(F31="X",G31=D31),"X",IF(AND(F31="X",G31="Major", D31="Priority"),"X",""))</f>
        <v/>
      </c>
      <c r="I31" s="9" t="n"/>
      <c r="J31" s="26" t="inlineStr">
        <is>
          <t>Worker grievance/complaint process</t>
        </is>
      </c>
      <c r="K31" s="9" t="inlineStr">
        <is>
          <t>An adequate and effective process is established to anonymously report labor grievances confidentially without fear of reprisal or  intimidation</t>
        </is>
      </c>
      <c r="L3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A.M.3.2: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A.M.3.2: Hệ thống quản lý lao động</t>
          </r>
        </is>
      </c>
      <c r="M31"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1" s="38" t="inlineStr">
        <is>
          <t>O</t>
        </is>
      </c>
      <c r="O31" s="38" t="inlineStr">
        <is>
          <t>O</t>
        </is>
      </c>
      <c r="P31" s="38" t="inlineStr">
        <is>
          <t>O</t>
        </is>
      </c>
      <c r="Q31" s="38" t="inlineStr">
        <is>
          <t>O</t>
        </is>
      </c>
      <c r="R31" s="8" t="inlineStr">
        <is>
          <t>Labor</t>
        </is>
      </c>
      <c r="S31" s="8">
        <f>VLOOKUP(B31&amp;D31&amp;R31,[2]Table!$D:$E,2,0)</f>
        <v/>
      </c>
    </row>
    <row r="32" ht="109.35" customFormat="1" customHeight="1" s="10">
      <c r="A32" s="78" t="inlineStr">
        <is>
          <t>AM4) Performance Review and Continuous Improvement</t>
        </is>
      </c>
      <c r="B32" s="9" t="inlineStr">
        <is>
          <t>AM401</t>
        </is>
      </c>
      <c r="C32" s="20" t="inlineStr">
        <is>
          <t>O</t>
        </is>
      </c>
      <c r="D32" s="33" t="inlineStr">
        <is>
          <t>Conformance</t>
        </is>
      </c>
      <c r="E32" s="8">
        <f>IF(AND(D32&lt;&gt;"Conformance", D32&lt;&gt;"N/A"),"X","")</f>
        <v/>
      </c>
      <c r="F32" s="19" t="n"/>
      <c r="G32" s="20" t="n"/>
      <c r="H32" s="9">
        <f>IF(AND(F32="X",G32=D32),"X",IF(AND(F32="X",G32="Major", D32="Priority"),"X",""))</f>
        <v/>
      </c>
      <c r="I32" s="9" t="n"/>
      <c r="J32" s="26" t="inlineStr">
        <is>
          <t>Performance Review and Continuous Improvement</t>
        </is>
      </c>
      <c r="K32" s="9" t="inlineStr">
        <is>
          <t>An adequate and effective labor management performance review and continuous improvement process is established</t>
        </is>
      </c>
      <c r="L3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A.M.4.1: Hệ thống quản lý lao động</t>
          </r>
        </is>
      </c>
      <c r="M32"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2" s="38" t="n"/>
      <c r="O32" s="38" t="inlineStr">
        <is>
          <t>O</t>
        </is>
      </c>
      <c r="P32" s="38" t="inlineStr">
        <is>
          <t>O</t>
        </is>
      </c>
      <c r="Q32" s="38" t="inlineStr">
        <is>
          <t>O</t>
        </is>
      </c>
      <c r="R32" s="8" t="inlineStr">
        <is>
          <t>Labor</t>
        </is>
      </c>
      <c r="S32" s="8">
        <f>VLOOKUP(B32&amp;D32&amp;R32,[2]Table!$D:$E,2,0)</f>
        <v/>
      </c>
    </row>
    <row r="33" ht="109.35" customFormat="1" customHeight="1" s="11">
      <c r="A33" s="78" t="inlineStr">
        <is>
          <t>AM4) Performance Review and Continuous Improvement</t>
        </is>
      </c>
      <c r="B33" s="9" t="inlineStr">
        <is>
          <t>AM402</t>
        </is>
      </c>
      <c r="C33" s="20" t="inlineStr">
        <is>
          <t>O</t>
        </is>
      </c>
      <c r="D33" s="33" t="inlineStr">
        <is>
          <t>Conformance</t>
        </is>
      </c>
      <c r="E33" s="8">
        <f>IF(AND(D33&lt;&gt;"Conformance", D33&lt;&gt;"N/A"),"X","")</f>
        <v/>
      </c>
      <c r="F33" s="19" t="n"/>
      <c r="G33" s="20" t="n"/>
      <c r="H33" s="9">
        <f>IF(AND(F33="X",G33=D33),"X",IF(AND(F33="X",G33="Major", D33="Priority"),"X",""))</f>
        <v/>
      </c>
      <c r="I33" s="9" t="n"/>
      <c r="J33" s="26" t="inlineStr">
        <is>
          <t>Self-audit process</t>
        </is>
      </c>
      <c r="K33" s="69" t="inlineStr">
        <is>
          <t>An adequate and effective labor self-audit process is established to assess conformance with the RBA Code and customer  requirements periodically</t>
        </is>
      </c>
      <c r="L3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A.M.4.2: Hệ thống quản lý lao động</t>
          </r>
        </is>
      </c>
      <c r="M33" s="117" t="inlineStr">
        <is>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3" s="38" t="n"/>
      <c r="O33" s="38" t="inlineStr">
        <is>
          <t>O</t>
        </is>
      </c>
      <c r="P33" s="38" t="inlineStr">
        <is>
          <t>O</t>
        </is>
      </c>
      <c r="Q33" s="38" t="n"/>
      <c r="R33" s="8" t="inlineStr">
        <is>
          <t>Labor</t>
        </is>
      </c>
      <c r="S33" s="8">
        <f>VLOOKUP(B33&amp;D33&amp;R33,[2]Table!$D:$E,2,0)</f>
        <v/>
      </c>
    </row>
    <row r="34" ht="109.35" customFormat="1" customHeight="1" s="11">
      <c r="A34" s="78" t="inlineStr">
        <is>
          <t>AM4) Performance Review and Continuous Improvement</t>
        </is>
      </c>
      <c r="B34" s="9" t="inlineStr">
        <is>
          <t>AM403</t>
        </is>
      </c>
      <c r="C34" s="20" t="inlineStr">
        <is>
          <t>O</t>
        </is>
      </c>
      <c r="D34" s="33" t="inlineStr">
        <is>
          <t>Conformance</t>
        </is>
      </c>
      <c r="E34" s="8">
        <f>IF(AND(D34&lt;&gt;"Conformance", D34&lt;&gt;"N/A"),"X","")</f>
        <v/>
      </c>
      <c r="F34" s="19" t="n"/>
      <c r="G34" s="20" t="n"/>
      <c r="H34" s="9">
        <f>IF(AND(F34="X",G34=D34),"X",IF(AND(F34="X",G34="Major", D34="Priority"),"X",""))</f>
        <v/>
      </c>
      <c r="I34" s="9" t="n"/>
      <c r="J34" s="26" t="inlineStr">
        <is>
          <t>Corrective action process</t>
        </is>
      </c>
      <c r="K34" s="69" t="inlineStr">
        <is>
          <t xml:space="preserve">An adequate and effective labor corrective action process is established to rectify and close non-conformances
</t>
        </is>
      </c>
      <c r="L34"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A.M.4.3: Hệ thống quản lý lao động</t>
          </r>
        </is>
      </c>
      <c r="M34" s="117" t="inlineStr">
        <is>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4" s="38" t="n"/>
      <c r="O34" s="38" t="inlineStr">
        <is>
          <t>O</t>
        </is>
      </c>
      <c r="P34" s="38" t="inlineStr">
        <is>
          <t>O</t>
        </is>
      </c>
      <c r="Q34" s="38" t="inlineStr">
        <is>
          <t>O</t>
        </is>
      </c>
      <c r="R34" s="8" t="inlineStr">
        <is>
          <t>Labor</t>
        </is>
      </c>
      <c r="S34" s="8">
        <f>VLOOKUP(B34&amp;D34&amp;R34,[2]Table!$D:$E,2,0)</f>
        <v/>
      </c>
    </row>
    <row r="35" ht="154.5" customFormat="1" customHeight="1" s="12">
      <c r="A35" s="13" t="inlineStr">
        <is>
          <t>DE1) Business Integrity and No Improper Advantage</t>
        </is>
      </c>
      <c r="B35" s="9" t="inlineStr">
        <is>
          <t>DE101</t>
        </is>
      </c>
      <c r="C35" s="20" t="inlineStr">
        <is>
          <t>O</t>
        </is>
      </c>
      <c r="D35" s="33" t="inlineStr">
        <is>
          <t>Conformance</t>
        </is>
      </c>
      <c r="E35" s="8">
        <f>IF(AND(D35&lt;&gt;"Conformance", D35&lt;&gt;"N/A"),"X","")</f>
        <v/>
      </c>
      <c r="F35" s="19" t="n"/>
      <c r="G35" s="20" t="n"/>
      <c r="H35" s="9">
        <f>IF(AND(F35="X",G35=D35),"X",IF(AND(F35="X",G35="Major", D35="Priority"),"X",""))</f>
        <v/>
      </c>
      <c r="I35" s="9" t="n"/>
      <c r="J35" s="26" t="inlineStr">
        <is>
          <t>Prohibition of bribery and improper advantage</t>
        </is>
      </c>
      <c r="K35" s="69" t="inlineStr">
        <is>
          <t>No identified risk or evidence of bribes or obtaining undue or improper advantage being promised, offered, authorized, given, or  accepted</t>
        </is>
      </c>
      <c r="L35"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D1: Business Integrity and No Improper Advantage
</t>
          </r>
          <r>
            <rPr>
              <rFont val="Calibri"/>
              <sz val="10"/>
            </rPr>
            <t xml:space="preserve">2. Anti-Corruption Law 2018, Article 7 (prohibited acts: bribery, abuse of position)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D1: Liêm chính kinh doanh, không lợi thế bất chính
</t>
          </r>
          <r>
            <rPr>
              <rFont val="Calibri"/>
              <sz val="10"/>
            </rPr>
            <t>2. Luật Phòng, chống tham nhũng 2018, Điều 7 (nghiêm cấm hối lộ, lạm dụng chức vụ)</t>
          </r>
        </is>
      </c>
      <c r="M35" s="117" t="inlineStr">
        <is>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is>
      </c>
      <c r="N35" s="38" t="n"/>
      <c r="O35" s="38" t="inlineStr">
        <is>
          <t>O</t>
        </is>
      </c>
      <c r="P35" s="38" t="inlineStr">
        <is>
          <t>O</t>
        </is>
      </c>
      <c r="Q35" s="38" t="inlineStr">
        <is>
          <t>O</t>
        </is>
      </c>
      <c r="R35" s="8" t="inlineStr">
        <is>
          <t>Labor</t>
        </is>
      </c>
      <c r="S35" s="8">
        <f>VLOOKUP(B35&amp;D35&amp;R35,[2]Table!$D:$E,2,0)</f>
        <v/>
      </c>
    </row>
    <row r="36" ht="114" customFormat="1" customHeight="1" s="12">
      <c r="A36" s="13" t="inlineStr">
        <is>
          <t>DE2) Disclosure of Information</t>
        </is>
      </c>
      <c r="B36" s="9" t="inlineStr">
        <is>
          <t>DE201</t>
        </is>
      </c>
      <c r="C36" s="20" t="inlineStr">
        <is>
          <t>O</t>
        </is>
      </c>
      <c r="D36" s="33" t="inlineStr">
        <is>
          <t>Conformance</t>
        </is>
      </c>
      <c r="E36" s="8">
        <f>IF(AND(D36&lt;&gt;"Conformance", D36&lt;&gt;"N/A"),"X","")</f>
        <v/>
      </c>
      <c r="F36" s="19" t="n"/>
      <c r="G36" s="20" t="n"/>
      <c r="H36" s="9">
        <f>IF(AND(F36="X",G36=D36),"X",IF(AND(F36="X",G36="Major", D36="Priority"),"X",""))</f>
        <v/>
      </c>
      <c r="I36" s="9" t="n"/>
      <c r="J36" s="26" t="inlineStr">
        <is>
          <t>Prohibition of record falsification and misrepresentation</t>
        </is>
      </c>
      <c r="K36" s="69" t="inlineStr">
        <is>
          <t>No evidence of misreporting, record falsification, misrepresentation, or evidence of communicating inaccurate information to the  public</t>
        </is>
      </c>
      <c r="L3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D2: Disclosure of Information (no record falsification)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D2: Công khai thông tin (cấm làm giả hồ sơ)</t>
          </r>
        </is>
      </c>
      <c r="M36" s="117" t="inlineStr">
        <is>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is>
      </c>
      <c r="N36" s="38" t="inlineStr">
        <is>
          <t>O</t>
        </is>
      </c>
      <c r="O36" s="38" t="inlineStr">
        <is>
          <t>O</t>
        </is>
      </c>
      <c r="P36" s="38" t="inlineStr">
        <is>
          <t>O</t>
        </is>
      </c>
      <c r="Q36" s="38" t="inlineStr">
        <is>
          <t>O</t>
        </is>
      </c>
      <c r="R36" s="8" t="inlineStr">
        <is>
          <t>Labor</t>
        </is>
      </c>
      <c r="S36" s="8">
        <f>VLOOKUP(B36&amp;D36&amp;R36,[2]Table!$D:$E,2,0)</f>
        <v/>
      </c>
    </row>
    <row r="37" ht="109.35" customFormat="1" customHeight="1" s="12">
      <c r="A37" s="13" t="inlineStr">
        <is>
          <t>DE3) Intellectual Property</t>
        </is>
      </c>
      <c r="B37" s="9" t="inlineStr">
        <is>
          <t>DE301</t>
        </is>
      </c>
      <c r="C37" s="20" t="inlineStr">
        <is>
          <t>O</t>
        </is>
      </c>
      <c r="D37" s="33" t="inlineStr">
        <is>
          <t>Conformance</t>
        </is>
      </c>
      <c r="E37" s="8">
        <f>IF(AND(D37&lt;&gt;"Conformance", D37&lt;&gt;"N/A"),"X","")</f>
        <v/>
      </c>
      <c r="F37" s="19" t="n"/>
      <c r="G37" s="20" t="n"/>
      <c r="H37" s="9">
        <f>IF(AND(F37="X",G37=D37),"X",IF(AND(F37="X",G37="Major", D37="Priority"),"X",""))</f>
        <v/>
      </c>
      <c r="I37" s="9" t="n"/>
      <c r="J37" s="26" t="inlineStr">
        <is>
          <t>Intellectual property protection</t>
        </is>
      </c>
      <c r="K37" s="69" t="inlineStr">
        <is>
          <t xml:space="preserve">No evidence of Intellectual Property or business information loss or unauthorized disclosure (the Auditee’s own and that of their
     customers/suppliers).
</t>
        </is>
      </c>
      <c r="L3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D3: Intellectual Property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D3: Sở hữu trí tuệ</t>
          </r>
        </is>
      </c>
      <c r="M37" s="117" t="inlineStr">
        <is>
          <t>ㆍPriority : IP is not protected
ㆍMajor   : No detailed and understandable gift or similar policy and procedures implemented
ㆍMinor   : Partial policy or procedures or implementation
※ Required Documents and Records
    - Intellectual property review and protection policies</t>
        </is>
      </c>
      <c r="N37" s="38" t="inlineStr">
        <is>
          <t>O</t>
        </is>
      </c>
      <c r="O37" s="38" t="inlineStr">
        <is>
          <t>O</t>
        </is>
      </c>
      <c r="P37" s="38" t="inlineStr">
        <is>
          <t>O</t>
        </is>
      </c>
      <c r="Q37" s="38" t="inlineStr">
        <is>
          <t>O</t>
        </is>
      </c>
      <c r="R37" s="8" t="inlineStr">
        <is>
          <t>Labor</t>
        </is>
      </c>
      <c r="S37" s="8">
        <f>VLOOKUP(B37&amp;D37&amp;R37,[2]Table!$D:$E,2,0)</f>
        <v/>
      </c>
    </row>
    <row r="38" ht="127.5" customFormat="1" customHeight="1" s="12">
      <c r="A38" s="13" t="inlineStr">
        <is>
          <t>DE4) Fair Business, Advertising and Competition</t>
        </is>
      </c>
      <c r="B38" s="9" t="inlineStr">
        <is>
          <t>DE401</t>
        </is>
      </c>
      <c r="C38" s="20" t="inlineStr">
        <is>
          <t>O</t>
        </is>
      </c>
      <c r="D38" s="33" t="inlineStr">
        <is>
          <t>Conformance</t>
        </is>
      </c>
      <c r="E38" s="8">
        <f>IF(AND(D38&lt;&gt;"Conformance", D38&lt;&gt;"N/A"),"X","")</f>
        <v/>
      </c>
      <c r="F38" s="19" t="n"/>
      <c r="G38" s="20" t="n"/>
      <c r="H38" s="9">
        <f>IF(AND(F38="X",G38=D38),"X",IF(AND(F38="X",G38="Major", D38="Priority"),"X",""))</f>
        <v/>
      </c>
      <c r="I38" s="9" t="n"/>
      <c r="J38" s="26" t="inlineStr">
        <is>
          <t>Compliance of Fair Business, Advertising and Competition</t>
        </is>
      </c>
      <c r="K38" s="69" t="inlineStr">
        <is>
          <t xml:space="preserve">No identified risk or evidence of non-conformance with fair business, advertising and competition standards </t>
        </is>
      </c>
      <c r="L3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D4: Fair Business, Advertising and Competition
</t>
          </r>
          <r>
            <rPr>
              <rFont val="Calibri"/>
              <sz val="10"/>
            </rPr>
            <t xml:space="preserve">2. Competition Law 2018, Article 6 (prohibition of anti-competitive agreements)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D4: Kinh doanh công bằng, quảng cáo, cạnh tranh
</t>
          </r>
          <r>
            <rPr>
              <rFont val="Calibri"/>
              <sz val="10"/>
            </rPr>
            <t>2. Luật Cạnh tranh 2018, Điều 6 (cấm các thỏa thuận hạn chế cạnh tranh)</t>
          </r>
        </is>
      </c>
      <c r="M38" s="117" t="inlineStr">
        <is>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is>
      </c>
      <c r="N38" s="38" t="n"/>
      <c r="O38" s="38" t="inlineStr">
        <is>
          <t>O</t>
        </is>
      </c>
      <c r="P38" s="38" t="inlineStr">
        <is>
          <t>O</t>
        </is>
      </c>
      <c r="Q38" s="38" t="inlineStr">
        <is>
          <t>O</t>
        </is>
      </c>
      <c r="R38" s="8" t="inlineStr">
        <is>
          <t>Labor</t>
        </is>
      </c>
      <c r="S38" s="8">
        <f>VLOOKUP(B38&amp;D38&amp;R38,[2]Table!$D:$E,2,0)</f>
        <v/>
      </c>
    </row>
    <row r="39" ht="109.35" customFormat="1" customHeight="1" s="12">
      <c r="A39" s="13" t="inlineStr">
        <is>
          <t>DE5) Protection of Identity and Non-Retaliation</t>
        </is>
      </c>
      <c r="B39" s="9" t="inlineStr">
        <is>
          <t>DE501</t>
        </is>
      </c>
      <c r="C39" s="20" t="inlineStr">
        <is>
          <t>O</t>
        </is>
      </c>
      <c r="D39" s="33" t="inlineStr">
        <is>
          <t>Conformance</t>
        </is>
      </c>
      <c r="E39" s="8">
        <f>IF(AND(D39&lt;&gt;"Conformance", D39&lt;&gt;"N/A"),"X","")</f>
        <v/>
      </c>
      <c r="F39" s="19" t="n"/>
      <c r="G39" s="20" t="n"/>
      <c r="H39" s="9">
        <f>IF(AND(F39="X",G39=D39),"X",IF(AND(F39="X",G39="Major", D39="Priority"),"X",""))</f>
        <v/>
      </c>
      <c r="I39" s="9" t="n"/>
      <c r="J39" s="26" t="inlineStr">
        <is>
          <t>Non-Retaliation &amp; Whistleblower protection</t>
        </is>
      </c>
      <c r="K39" s="69" t="inlineStr">
        <is>
          <t xml:space="preserve">No evidence of retaliation or reduced protection of identity </t>
        </is>
      </c>
      <c r="L3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D5: Protection of Identity and Non-Retaliation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D5: Bảo vệ danh tính và không trả đũa</t>
          </r>
        </is>
      </c>
      <c r="M39" s="117" t="inlineStr">
        <is>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is>
      </c>
      <c r="N39" s="38" t="n"/>
      <c r="O39" s="38" t="inlineStr">
        <is>
          <t>O</t>
        </is>
      </c>
      <c r="P39" s="38" t="inlineStr">
        <is>
          <t>O</t>
        </is>
      </c>
      <c r="Q39" s="38" t="inlineStr">
        <is>
          <t>O</t>
        </is>
      </c>
      <c r="R39" s="8" t="inlineStr">
        <is>
          <t>Labor</t>
        </is>
      </c>
      <c r="S39" s="8">
        <f>VLOOKUP(B39&amp;D39&amp;R39,[2]Table!$D:$E,2,0)</f>
        <v/>
      </c>
    </row>
    <row r="40" ht="208.5" customFormat="1" customHeight="1" s="12">
      <c r="A40" s="13" t="inlineStr">
        <is>
          <t>DE6) Privacy</t>
        </is>
      </c>
      <c r="B40" s="9" t="inlineStr">
        <is>
          <t>DE601</t>
        </is>
      </c>
      <c r="C40" s="20" t="inlineStr">
        <is>
          <t>O</t>
        </is>
      </c>
      <c r="D40" s="33" t="inlineStr">
        <is>
          <t>Conformance</t>
        </is>
      </c>
      <c r="E40" s="8">
        <f>IF(AND(D40&lt;&gt;"Conformance", D40&lt;&gt;"N/A"),"X","")</f>
        <v/>
      </c>
      <c r="F40" s="19" t="n"/>
      <c r="G40" s="20" t="n"/>
      <c r="H40" s="9">
        <f>IF(AND(F40="X",G40=D40),"X",IF(AND(F40="X",G40="Major", D40="Priority"),"X",""))</f>
        <v/>
      </c>
      <c r="I40" s="9" t="n"/>
      <c r="J40" s="26" t="inlineStr">
        <is>
          <t>Protection of personal information</t>
        </is>
      </c>
      <c r="K40" s="69" t="inlineStr">
        <is>
          <t>No evidence of unauthorized disclosure of personal information</t>
        </is>
      </c>
      <c r="L4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D6: Privacy
</t>
          </r>
          <r>
            <rPr>
              <rFont val="Calibri"/>
              <sz val="10"/>
            </rPr>
            <t xml:space="preserve">2. Personal Data Protection Law 2025 (No. 91/2025/QH15)
</t>
          </r>
          <r>
            <rPr>
              <rFont val="Calibri"/>
              <sz val="10"/>
            </rPr>
            <t xml:space="preserve">3. Decree No. 356/2025/ND-CP, Article 19 (Personal Data Processing Impact Assessment dossier; submission to the Ministry of Public Security)
</t>
          </r>
          <r>
            <rPr>
              <rFont val="Calibri"/>
              <sz val="10"/>
            </rPr>
            <t xml:space="preserve">4. Decree 13/2023/ND-CP, Article 24 (Personal Data Processing Impact Assessment)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D6: Quyền riêng tư
</t>
          </r>
          <r>
            <rPr>
              <rFont val="Calibri"/>
              <sz val="10"/>
            </rPr>
            <t xml:space="preserve">2. Luật Bảo vệ dữ liệu cá nhân năm 2025 (Luật số 91/2025/QH15)
</t>
          </r>
          <r>
            <rPr>
              <rFont val="Calibri"/>
              <sz val="10"/>
            </rPr>
            <t xml:space="preserve">3. Nghị định 356/2025/NĐ-CP, Điều 19 (hồ sơ đánh giá tác động xử lý dữ liệu cá nhân; nộp Bộ Công an)
</t>
          </r>
          <r>
            <rPr>
              <rFont val="Calibri"/>
              <sz val="10"/>
            </rPr>
            <t>4. Nghị định 13/2023/NĐ-CP, Điều 24 (hồ sơ đánh giá tác động xử lý dữ liệu cá nhân)</t>
          </r>
        </is>
      </c>
      <c r="M40" s="117" t="inlineStr">
        <is>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is>
      </c>
      <c r="N40" s="38" t="inlineStr">
        <is>
          <t>O</t>
        </is>
      </c>
      <c r="O40" s="38" t="inlineStr">
        <is>
          <t>O</t>
        </is>
      </c>
      <c r="P40" s="38" t="inlineStr">
        <is>
          <t>O</t>
        </is>
      </c>
      <c r="Q40" s="38" t="inlineStr">
        <is>
          <t>O</t>
        </is>
      </c>
      <c r="R40" s="8" t="inlineStr">
        <is>
          <t>Labor</t>
        </is>
      </c>
      <c r="S40" s="8">
        <f>VLOOKUP(B40&amp;D40&amp;R40,[2]Table!$D:$E,2,0)</f>
        <v/>
      </c>
    </row>
    <row r="41" ht="109.35" customFormat="1" customHeight="1" s="12">
      <c r="A41" s="13" t="inlineStr">
        <is>
          <t>DM1) Risk Assessment</t>
        </is>
      </c>
      <c r="B41" s="9" t="inlineStr">
        <is>
          <t>DM101</t>
        </is>
      </c>
      <c r="C41" s="20" t="inlineStr">
        <is>
          <t>O</t>
        </is>
      </c>
      <c r="D41" s="33" t="inlineStr">
        <is>
          <t>Conformance</t>
        </is>
      </c>
      <c r="E41" s="8">
        <f>IF(AND(D41&lt;&gt;"Conformance", D41&lt;&gt;"N/A"),"X","")</f>
        <v/>
      </c>
      <c r="F41" s="19" t="n"/>
      <c r="G41" s="20" t="n"/>
      <c r="H41" s="9">
        <f>IF(AND(F41="X",G41=D41),"X",IF(AND(F41="X",G41="Major", D41="Priority"),"X",""))</f>
        <v/>
      </c>
      <c r="I41" s="9" t="n"/>
      <c r="J41" s="26" t="inlineStr">
        <is>
          <t>Compliance process of Legal/Customer Requirements</t>
        </is>
      </c>
      <c r="K41" s="69" t="inlineStr">
        <is>
          <t xml:space="preserve">An adequate and effective ethics compliance process is established to monitor, identify, understand, and ensure compliance with  applicable
     laws, regulations, and customer requirements
</t>
        </is>
      </c>
      <c r="L4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D.M.1.1: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D.M.1.1: Hệ thống quản lý đạo đức</t>
          </r>
        </is>
      </c>
      <c r="M41"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1" s="38" t="n"/>
      <c r="O41" s="38" t="inlineStr">
        <is>
          <t>O</t>
        </is>
      </c>
      <c r="P41" s="38" t="inlineStr">
        <is>
          <t>O</t>
        </is>
      </c>
      <c r="Q41" s="38" t="inlineStr">
        <is>
          <t>O</t>
        </is>
      </c>
      <c r="R41" s="8" t="inlineStr">
        <is>
          <t>Labor</t>
        </is>
      </c>
      <c r="S41" s="8">
        <f>VLOOKUP(B41&amp;D41&amp;R41,[2]Table!$D:$E,2,0)</f>
        <v/>
      </c>
    </row>
    <row r="42" ht="109.35" customFormat="1" customHeight="1" s="12">
      <c r="A42" s="13" t="inlineStr">
        <is>
          <t>DM1) Risk Assessment</t>
        </is>
      </c>
      <c r="B42" s="9" t="inlineStr">
        <is>
          <t>DM102</t>
        </is>
      </c>
      <c r="C42" s="20" t="inlineStr">
        <is>
          <t>O</t>
        </is>
      </c>
      <c r="D42" s="33" t="inlineStr">
        <is>
          <t>Conformance</t>
        </is>
      </c>
      <c r="E42" s="8">
        <f>IF(AND(D42&lt;&gt;"Conformance", D42&lt;&gt;"N/A"),"X","")</f>
        <v/>
      </c>
      <c r="F42" s="19" t="n"/>
      <c r="G42" s="20" t="n"/>
      <c r="H42" s="9">
        <f>IF(AND(F42="X",G42=D42),"X",IF(AND(F42="X",G42="Major", D42="Priority"),"X",""))</f>
        <v/>
      </c>
      <c r="I42" s="9" t="n"/>
      <c r="J42" s="26" t="inlineStr">
        <is>
          <t>Due diligence Process</t>
        </is>
      </c>
      <c r="K42" s="69" t="inlineStr">
        <is>
          <t xml:space="preserve">An adequate and effective due diligence process is established to identify and assess the most significant actual and potential  ethics risks 
     where the facility caused or contributed to adverse ethics impacts (including applicable requirements).
</t>
        </is>
      </c>
      <c r="L4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D.M.1.2: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D.M.1.2: Hệ thống quản lý đạo đức</t>
          </r>
        </is>
      </c>
      <c r="M42"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2" s="38" t="n"/>
      <c r="O42" s="38" t="inlineStr">
        <is>
          <t>O</t>
        </is>
      </c>
      <c r="P42" s="38" t="inlineStr">
        <is>
          <t>O</t>
        </is>
      </c>
      <c r="Q42" s="38" t="inlineStr">
        <is>
          <t>O</t>
        </is>
      </c>
      <c r="R42" s="8" t="inlineStr">
        <is>
          <t>Labor</t>
        </is>
      </c>
      <c r="S42" s="8">
        <f>VLOOKUP(B42&amp;D42&amp;R42,[2]Table!$D:$E,2,0)</f>
        <v/>
      </c>
    </row>
    <row r="43" ht="109.35" customFormat="1" customHeight="1" s="12">
      <c r="A43" s="13" t="inlineStr">
        <is>
          <t>DM2) Control processes</t>
        </is>
      </c>
      <c r="B43" s="9" t="inlineStr">
        <is>
          <t>DM201</t>
        </is>
      </c>
      <c r="C43" s="20" t="inlineStr">
        <is>
          <t>O</t>
        </is>
      </c>
      <c r="D43" s="33" t="inlineStr">
        <is>
          <t>Conformance</t>
        </is>
      </c>
      <c r="E43" s="8">
        <f>IF(AND(D43&lt;&gt;"Conformance", D43&lt;&gt;"N/A"),"X","")</f>
        <v/>
      </c>
      <c r="F43" s="19" t="n"/>
      <c r="G43" s="20" t="n"/>
      <c r="H43" s="9">
        <f>IF(AND(F43="X",G43=D43),"X",IF(AND(F43="X",G43="Major", D43="Priority"),"X",""))</f>
        <v/>
      </c>
      <c r="I43" s="9" t="n"/>
      <c r="J43" s="26" t="inlineStr">
        <is>
          <t>Assigning responsibilities and authorities for all workers(Senior manager to workers)</t>
        </is>
      </c>
      <c r="K43" s="9" t="inlineStr">
        <is>
          <t xml:space="preserve">Ethics responsibilities and authorities are adequately and effectively defined and assigned for all employee levels (senior  managers to workers) 
     for the implementation of management systems, and for compliance with laws, regulations, and codes.
</t>
        </is>
      </c>
      <c r="L4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D.M.2.1: Hệ thống quản lý đạo đức</t>
          </r>
        </is>
      </c>
      <c r="M43"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3" s="38" t="n"/>
      <c r="O43" s="38" t="inlineStr">
        <is>
          <t>O</t>
        </is>
      </c>
      <c r="P43" s="38" t="inlineStr">
        <is>
          <t>O</t>
        </is>
      </c>
      <c r="Q43" s="38" t="inlineStr">
        <is>
          <t>O</t>
        </is>
      </c>
      <c r="R43" s="8" t="inlineStr">
        <is>
          <t>Labor</t>
        </is>
      </c>
      <c r="S43" s="8">
        <f>VLOOKUP(B43&amp;D43&amp;R43,[2]Table!$D:$E,2,0)</f>
        <v/>
      </c>
    </row>
    <row r="44" ht="109.35" customFormat="1" customHeight="1" s="12">
      <c r="A44" s="13" t="inlineStr">
        <is>
          <t>DM2) Control processes</t>
        </is>
      </c>
      <c r="B44" s="9" t="inlineStr">
        <is>
          <t>DM202</t>
        </is>
      </c>
      <c r="C44" s="20" t="inlineStr">
        <is>
          <t>O</t>
        </is>
      </c>
      <c r="D44" s="33" t="inlineStr">
        <is>
          <t>Conformance</t>
        </is>
      </c>
      <c r="E44" s="8">
        <f>IF(AND(D44&lt;&gt;"Conformance", D44&lt;&gt;"N/A"),"X","")</f>
        <v/>
      </c>
      <c r="F44" s="19" t="n"/>
      <c r="G44" s="20" t="n"/>
      <c r="H44" s="9">
        <f>IF(AND(F44="X",G44=D44),"X",IF(AND(F44="X",G44="Major", D44="Priority"),"X",""))</f>
        <v/>
      </c>
      <c r="I44" s="9" t="n"/>
      <c r="J44" s="26" t="inlineStr">
        <is>
          <t>Policies and Control Process</t>
        </is>
      </c>
      <c r="K44" s="69" t="inlineStr">
        <is>
          <t>Adequate and effective ethics policies and control processes are established</t>
        </is>
      </c>
      <c r="L44"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D.M.2.2: Hệ thống quản lý đạo đức</t>
          </r>
        </is>
      </c>
      <c r="M44" s="117" t="inlineStr">
        <is>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4" s="38" t="inlineStr">
        <is>
          <t>O</t>
        </is>
      </c>
      <c r="O44" s="38" t="inlineStr">
        <is>
          <t>O</t>
        </is>
      </c>
      <c r="P44" s="38" t="inlineStr">
        <is>
          <t>O</t>
        </is>
      </c>
      <c r="Q44" s="38" t="inlineStr">
        <is>
          <t>O</t>
        </is>
      </c>
      <c r="R44" s="8" t="inlineStr">
        <is>
          <t>Labor</t>
        </is>
      </c>
      <c r="S44" s="8">
        <f>VLOOKUP(B44&amp;D44&amp;R44,[2]Table!$D:$E,2,0)</f>
        <v/>
      </c>
    </row>
    <row r="45" ht="109.35" customFormat="1" customHeight="1" s="12">
      <c r="A45" s="13" t="inlineStr">
        <is>
          <t>DM2) Control processes</t>
        </is>
      </c>
      <c r="B45" s="9" t="inlineStr">
        <is>
          <t>DM203</t>
        </is>
      </c>
      <c r="C45" s="20" t="inlineStr">
        <is>
          <t>O</t>
        </is>
      </c>
      <c r="D45" s="33" t="inlineStr">
        <is>
          <t>Conformance</t>
        </is>
      </c>
      <c r="E45" s="8">
        <f>IF(AND(D45&lt;&gt;"Conformance", D45&lt;&gt;"N/A"),"X","")</f>
        <v/>
      </c>
      <c r="F45" s="19" t="n"/>
      <c r="G45" s="20" t="n"/>
      <c r="H45" s="9">
        <f>IF(AND(F45="X",G45=D45),"X",IF(AND(F45="X",G45="Major", D45="Priority"),"X",""))</f>
        <v/>
      </c>
      <c r="I45" s="9" t="n"/>
      <c r="J45" s="26" t="inlineStr">
        <is>
          <t>Training process</t>
        </is>
      </c>
      <c r="K45" s="69" t="inlineStr">
        <is>
          <t>An adequate and effective ethics training process is established for all managers/workers on all policy/process/job-related  aspects and performance targets</t>
        </is>
      </c>
      <c r="L45"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D.M.2.3: Hệ thống quản lý đạo đức</t>
          </r>
        </is>
      </c>
      <c r="M45"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5" s="38" t="n"/>
      <c r="O45" s="38" t="inlineStr">
        <is>
          <t>O</t>
        </is>
      </c>
      <c r="P45" s="38" t="inlineStr">
        <is>
          <t>O</t>
        </is>
      </c>
      <c r="Q45" s="38" t="inlineStr">
        <is>
          <t>O</t>
        </is>
      </c>
      <c r="R45" s="8" t="inlineStr">
        <is>
          <t>Labor</t>
        </is>
      </c>
      <c r="S45" s="8">
        <f>VLOOKUP(B45&amp;D45&amp;R45,[2]Table!$D:$E,2,0)</f>
        <v/>
      </c>
    </row>
    <row r="46" ht="109.35" customFormat="1" customHeight="1" s="12">
      <c r="A46" s="13" t="inlineStr">
        <is>
          <t>DM3) Communications</t>
        </is>
      </c>
      <c r="B46" s="9" t="inlineStr">
        <is>
          <t>DM301</t>
        </is>
      </c>
      <c r="C46" s="20" t="inlineStr">
        <is>
          <t>O</t>
        </is>
      </c>
      <c r="D46" s="33" t="inlineStr">
        <is>
          <t>Conformance</t>
        </is>
      </c>
      <c r="E46" s="8">
        <f>IF(AND(D46&lt;&gt;"Conformance", D46&lt;&gt;"N/A"),"X","")</f>
        <v/>
      </c>
      <c r="F46" s="19" t="n"/>
      <c r="G46" s="20" t="n"/>
      <c r="H46" s="9">
        <f>IF(AND(F46="X",G46=D46),"X",IF(AND(F46="X",G46="Major", D46="Priority"),"X",""))</f>
        <v/>
      </c>
      <c r="I46" s="9" t="n"/>
      <c r="J46" s="26" t="inlineStr">
        <is>
          <t>Worker, stakeholder communication</t>
        </is>
      </c>
      <c r="K46" s="69" t="inlineStr">
        <is>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is>
      </c>
      <c r="L46"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D.M.3.1: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D.M.3.1: Hệ thống quản lý đạo đức</t>
          </r>
        </is>
      </c>
      <c r="M46"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6" s="38" t="inlineStr">
        <is>
          <t>O</t>
        </is>
      </c>
      <c r="O46" s="38" t="inlineStr">
        <is>
          <t>O</t>
        </is>
      </c>
      <c r="P46" s="38" t="inlineStr">
        <is>
          <t>O</t>
        </is>
      </c>
      <c r="Q46" s="38" t="inlineStr">
        <is>
          <t>O</t>
        </is>
      </c>
      <c r="R46" s="8" t="inlineStr">
        <is>
          <t>Labor</t>
        </is>
      </c>
      <c r="S46" s="8">
        <f>VLOOKUP(B46&amp;D46&amp;R46,[2]Table!$D:$E,2,0)</f>
        <v/>
      </c>
    </row>
    <row r="47" ht="109.35" customFormat="1" customHeight="1" s="12">
      <c r="A47" s="13" t="inlineStr">
        <is>
          <t>DM3) Communications</t>
        </is>
      </c>
      <c r="B47" s="9" t="inlineStr">
        <is>
          <t>DM302</t>
        </is>
      </c>
      <c r="C47" s="20" t="inlineStr">
        <is>
          <t>O</t>
        </is>
      </c>
      <c r="D47" s="33" t="inlineStr">
        <is>
          <t>Conformance</t>
        </is>
      </c>
      <c r="E47" s="8">
        <f>IF(AND(D47&lt;&gt;"Conformance", D47&lt;&gt;"N/A"),"X","")</f>
        <v/>
      </c>
      <c r="F47" s="19" t="n"/>
      <c r="G47" s="20" t="n"/>
      <c r="H47" s="9">
        <f>IF(AND(F47="X",G47=D47),"X",IF(AND(F47="X",G47="Major", D47="Priority"),"X",""))</f>
        <v/>
      </c>
      <c r="I47" s="9" t="n"/>
      <c r="J47" s="26" t="inlineStr">
        <is>
          <t>Worker grievance/complaint process</t>
        </is>
      </c>
      <c r="K47" s="70" t="inlineStr">
        <is>
          <t>An adequate and effective process is established to anonymously report ethics grievances confidentially without fear of reprisal or  intimidation</t>
        </is>
      </c>
      <c r="L4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D.M.3.2: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D.M.3.2: Hệ thống quản lý đạo đức</t>
          </r>
        </is>
      </c>
      <c r="M47"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7" s="38" t="inlineStr">
        <is>
          <t>O</t>
        </is>
      </c>
      <c r="O47" s="38" t="inlineStr">
        <is>
          <t>O</t>
        </is>
      </c>
      <c r="P47" s="38" t="inlineStr">
        <is>
          <t>O</t>
        </is>
      </c>
      <c r="Q47" s="38" t="inlineStr">
        <is>
          <t>O</t>
        </is>
      </c>
      <c r="R47" s="8" t="inlineStr">
        <is>
          <t>Labor</t>
        </is>
      </c>
      <c r="S47" s="8">
        <f>VLOOKUP(B47&amp;D47&amp;R47,[2]Table!$D:$E,2,0)</f>
        <v/>
      </c>
    </row>
    <row r="48" ht="109.35" customFormat="1" customHeight="1" s="11">
      <c r="A48" s="13" t="inlineStr">
        <is>
          <t>DM4) Performance Review and Continuous Improvement</t>
        </is>
      </c>
      <c r="B48" s="9" t="inlineStr">
        <is>
          <t>DM401</t>
        </is>
      </c>
      <c r="C48" s="20" t="inlineStr">
        <is>
          <t>O</t>
        </is>
      </c>
      <c r="D48" s="33" t="inlineStr">
        <is>
          <t>Conformance</t>
        </is>
      </c>
      <c r="E48" s="8">
        <f>IF(AND(D48&lt;&gt;"Conformance", D48&lt;&gt;"N/A"),"X","")</f>
        <v/>
      </c>
      <c r="F48" s="8" t="n"/>
      <c r="G48" s="20" t="n"/>
      <c r="H48" s="9">
        <f>IF(AND(F48="X",G48=D48),"X",IF(AND(F48="X",G48="Major", D48="Priority"),"X",""))</f>
        <v/>
      </c>
      <c r="I48" s="9" t="n"/>
      <c r="J48" s="26" t="inlineStr">
        <is>
          <t>Performance Review and Continuous Improvement</t>
        </is>
      </c>
      <c r="K48" s="70" t="inlineStr">
        <is>
          <t>An adequate and effective ethics management performance review and continuous improvement process is established</t>
        </is>
      </c>
      <c r="L48"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D.M.4.1: Hệ thống quản lý đạo đức</t>
          </r>
        </is>
      </c>
      <c r="M48"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8" s="74" t="n"/>
      <c r="O48" s="74" t="inlineStr">
        <is>
          <t>O</t>
        </is>
      </c>
      <c r="P48" s="74" t="inlineStr">
        <is>
          <t>O</t>
        </is>
      </c>
      <c r="Q48" s="74" t="inlineStr">
        <is>
          <t>O</t>
        </is>
      </c>
      <c r="R48" s="73" t="inlineStr">
        <is>
          <t>Labor</t>
        </is>
      </c>
      <c r="S48" s="73">
        <f>VLOOKUP(B48&amp;D48&amp;R48,[2]Table!$D:$E,2,0)</f>
        <v/>
      </c>
    </row>
    <row r="49" ht="109.35" customFormat="1" customHeight="1" s="11">
      <c r="A49" s="13" t="inlineStr">
        <is>
          <t>DM4) Performance Review and Continuous Improvement</t>
        </is>
      </c>
      <c r="B49" s="9" t="inlineStr">
        <is>
          <t>DM402</t>
        </is>
      </c>
      <c r="C49" s="20" t="inlineStr">
        <is>
          <t>O</t>
        </is>
      </c>
      <c r="D49" s="33" t="inlineStr">
        <is>
          <t>Conformance</t>
        </is>
      </c>
      <c r="E49" s="8">
        <f>IF(AND(D49&lt;&gt;"Conformance", D49&lt;&gt;"N/A"),"X","")</f>
        <v/>
      </c>
      <c r="F49" s="8" t="n"/>
      <c r="G49" s="20" t="n"/>
      <c r="H49" s="9">
        <f>IF(AND(F49="X",G49=D49),"X",IF(AND(F49="X",G49="Major", D49="Priority"),"X",""))</f>
        <v/>
      </c>
      <c r="I49" s="9" t="n"/>
      <c r="J49" s="26" t="inlineStr">
        <is>
          <t>Self-audit process</t>
        </is>
      </c>
      <c r="K49" s="70" t="inlineStr">
        <is>
          <t>An adequate and effective ethics self-audit process is established to assess conformance with the RBA Code and customer  requirements periodically</t>
        </is>
      </c>
      <c r="L49"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D.M.4.2: Hệ thống quản lý đạo đức</t>
          </r>
        </is>
      </c>
      <c r="M49" s="117" t="inlineStr">
        <is>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9" s="76" t="n"/>
      <c r="O49" s="76" t="inlineStr">
        <is>
          <t>O</t>
        </is>
      </c>
      <c r="P49" s="76" t="inlineStr">
        <is>
          <t>O</t>
        </is>
      </c>
      <c r="Q49" s="76" t="n"/>
      <c r="R49" s="8" t="inlineStr">
        <is>
          <t>Labor</t>
        </is>
      </c>
      <c r="S49" s="8">
        <f>VLOOKUP(B49&amp;D49&amp;R49,[2]Table!$D:$E,2,0)</f>
        <v/>
      </c>
    </row>
    <row r="50" ht="109.35" customFormat="1" customHeight="1" s="10">
      <c r="A50" s="13" t="inlineStr">
        <is>
          <t>DM4) Performance Review and Continuous Improvement</t>
        </is>
      </c>
      <c r="B50" s="8" t="inlineStr">
        <is>
          <t>DM403</t>
        </is>
      </c>
      <c r="C50" s="20" t="inlineStr">
        <is>
          <t>O</t>
        </is>
      </c>
      <c r="D50" s="33" t="inlineStr">
        <is>
          <t>Conformance</t>
        </is>
      </c>
      <c r="E50" s="8">
        <f>IF(AND(D50&lt;&gt;"Conformance", D50&lt;&gt;"N/A"),"X","")</f>
        <v/>
      </c>
      <c r="F50" s="8" t="n"/>
      <c r="G50" s="8" t="n"/>
      <c r="H50" s="9">
        <f>IF(AND(F50="X",G50=D50),"X",IF(AND(F50="X",G50="Major", D50="Priority"),"X",""))</f>
        <v/>
      </c>
      <c r="I50" s="8" t="n"/>
      <c r="J50" s="26" t="inlineStr">
        <is>
          <t>Corrective action process</t>
        </is>
      </c>
      <c r="K50" s="71" t="inlineStr">
        <is>
          <t xml:space="preserve">An adequate and effective ethics corrective action process is established to rectify and close non-conformances
</t>
        </is>
      </c>
      <c r="L50"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D.M.4.3: Hệ thống quản lý đạo đức</t>
          </r>
        </is>
      </c>
      <c r="M50" s="117" t="inlineStr">
        <is>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50" s="76" t="n"/>
      <c r="O50" s="76" t="inlineStr">
        <is>
          <t>O</t>
        </is>
      </c>
      <c r="P50" s="76" t="inlineStr">
        <is>
          <t>O</t>
        </is>
      </c>
      <c r="Q50" s="76" t="inlineStr">
        <is>
          <t>O</t>
        </is>
      </c>
      <c r="R50" s="8" t="inlineStr">
        <is>
          <t>Labor</t>
        </is>
      </c>
      <c r="S50" s="8">
        <f>VLOOKUP(B50&amp;D50&amp;R50,[2]Table!$D:$E,2,0)</f>
        <v/>
      </c>
    </row>
    <row r="51" ht="109.35" customHeight="1" s="191">
      <c r="A51" s="24" t="inlineStr">
        <is>
          <t>ES1) Company Commitment</t>
        </is>
      </c>
      <c r="B51" s="68" t="inlineStr">
        <is>
          <t>ES101</t>
        </is>
      </c>
      <c r="C51" s="20" t="inlineStr">
        <is>
          <t>O</t>
        </is>
      </c>
      <c r="D51" s="33" t="inlineStr">
        <is>
          <t>Conformance</t>
        </is>
      </c>
      <c r="E51" s="8">
        <f>IF(AND(D51&lt;&gt;"Conformance", D51&lt;&gt;"N/A"),"X","")</f>
        <v/>
      </c>
      <c r="F51" s="68" t="n"/>
      <c r="G51" s="68" t="n"/>
      <c r="H51" s="9">
        <f>IF(AND(F51="X",G51=D51),"X",IF(AND(F51="X",G51="Major", D51="Priority"),"X",""))</f>
        <v/>
      </c>
      <c r="I51" s="68" t="n"/>
      <c r="J51" s="25" t="inlineStr">
        <is>
          <t>Policies/codes endorsed by executive management</t>
        </is>
      </c>
      <c r="K51" s="72" t="inlineStr">
        <is>
          <t>An adequate and effective Code of Conduct is established and endorsed by executive management covering all elements of the RBA code</t>
        </is>
      </c>
      <c r="L5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E1: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E1: Quản lý chuỗi cung ứng</t>
          </r>
        </is>
      </c>
      <c r="M51" s="117" t="inlineStr">
        <is>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is>
      </c>
      <c r="N51" s="76" t="inlineStr">
        <is>
          <t>O</t>
        </is>
      </c>
      <c r="O51" s="76" t="inlineStr">
        <is>
          <t>O</t>
        </is>
      </c>
      <c r="P51" s="76" t="inlineStr">
        <is>
          <t>O</t>
        </is>
      </c>
      <c r="Q51" s="76" t="inlineStr">
        <is>
          <t>O</t>
        </is>
      </c>
      <c r="R51" s="8" t="inlineStr">
        <is>
          <t>Labor</t>
        </is>
      </c>
      <c r="S51" s="8">
        <f>VLOOKUP(B51&amp;D51&amp;R51,[2]Table!$D:$E,2,0)</f>
        <v/>
      </c>
    </row>
    <row r="52" ht="109.35" customHeight="1" s="191">
      <c r="A52" s="24" t="inlineStr">
        <is>
          <t>ES2) Materials Restrictions</t>
        </is>
      </c>
      <c r="B52" s="68" t="inlineStr">
        <is>
          <t>ES201</t>
        </is>
      </c>
      <c r="C52" s="20" t="inlineStr">
        <is>
          <t>O</t>
        </is>
      </c>
      <c r="D52" s="33" t="inlineStr">
        <is>
          <t>Conformance</t>
        </is>
      </c>
      <c r="E52" s="8">
        <f>IF(AND(D52&lt;&gt;"Conformance", D52&lt;&gt;"N/A"),"X","")</f>
        <v/>
      </c>
      <c r="F52" s="68" t="n"/>
      <c r="G52" s="68" t="n"/>
      <c r="H52" s="9">
        <f>IF(AND(F52="X",G52=D52),"X",IF(AND(F52="X",G52="Major", D52="Priority"),"X",""))</f>
        <v/>
      </c>
      <c r="I52" s="68" t="n"/>
      <c r="J52" s="25" t="inlineStr">
        <is>
          <t>Materials Restriction Program</t>
        </is>
      </c>
      <c r="K52" s="72" t="inlineStr">
        <is>
          <t>An adequate and effective program is in place for Materials Restrictions as a formal part of the procurement and manufacturing  processes</t>
        </is>
      </c>
      <c r="L5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E2: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E2: Quản lý chuỗi cung ứng</t>
          </r>
        </is>
      </c>
      <c r="M52" s="117" t="inlineStr">
        <is>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is>
      </c>
      <c r="N52" s="77" t="n"/>
      <c r="O52" s="76" t="inlineStr">
        <is>
          <t>O</t>
        </is>
      </c>
      <c r="P52" s="76" t="inlineStr">
        <is>
          <t>O</t>
        </is>
      </c>
      <c r="Q52" s="77" t="n"/>
      <c r="R52" s="8" t="inlineStr">
        <is>
          <t>Labor</t>
        </is>
      </c>
      <c r="S52" s="8">
        <f>VLOOKUP(B52&amp;D52&amp;R52,[2]Table!$D:$E,2,0)</f>
        <v/>
      </c>
    </row>
    <row r="53" ht="109.35" customHeight="1" s="191">
      <c r="A53" s="24" t="inlineStr">
        <is>
          <t>ES3) Responsible Sourcing of Minerals</t>
        </is>
      </c>
      <c r="B53" s="68" t="inlineStr">
        <is>
          <t>ES301</t>
        </is>
      </c>
      <c r="C53" s="20" t="inlineStr">
        <is>
          <t>O</t>
        </is>
      </c>
      <c r="D53" s="33" t="inlineStr">
        <is>
          <t>Conformance</t>
        </is>
      </c>
      <c r="E53" s="8">
        <f>IF(AND(D53&lt;&gt;"Conformance", D53&lt;&gt;"N/A"),"X","")</f>
        <v/>
      </c>
      <c r="F53" s="68" t="n"/>
      <c r="G53" s="68" t="n"/>
      <c r="H53" s="9">
        <f>IF(AND(F53="X",G53=D53),"X",IF(AND(F53="X",G53="Major", D53="Priority"),"X",""))</f>
        <v/>
      </c>
      <c r="I53" s="68" t="n"/>
      <c r="J53" s="25" t="inlineStr">
        <is>
          <t>Prohibition of using sourcing minerals</t>
        </is>
      </c>
      <c r="K53" s="72" t="inlineStr">
        <is>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is>
      </c>
      <c r="L5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E3: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E3: Quản lý chuỗi cung ứng</t>
          </r>
        </is>
      </c>
      <c r="M53" s="117" t="inlineStr">
        <is>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rFont val="Calibri"/>
              <charset val="128"/>
              <family val="3"/>
              <sz val="10"/>
              <scheme val="minor"/>
            </rPr>
            <t>‐</t>
          </r>
          <r>
            <rPr>
              <rFont val="Calibri"/>
              <charset val="129"/>
              <family val="3"/>
              <sz val="10"/>
              <scheme val="minor"/>
            </rPr>
            <t>free
    - Action plans on information gathering/actions to ensure responsible sourcing of minerals
    - Due Diligence records related to 3TG + C for the last 2 years</t>
          </r>
        </is>
      </c>
      <c r="N53" s="77" t="n"/>
      <c r="O53" s="76" t="inlineStr">
        <is>
          <t>O</t>
        </is>
      </c>
      <c r="P53" s="76" t="inlineStr">
        <is>
          <t>O</t>
        </is>
      </c>
      <c r="Q53" s="76" t="inlineStr">
        <is>
          <t>O</t>
        </is>
      </c>
      <c r="R53" s="8" t="inlineStr">
        <is>
          <t>Labor</t>
        </is>
      </c>
      <c r="S53" s="8">
        <f>VLOOKUP(B53&amp;D53&amp;R53,[2]Table!$D:$E,2,0)</f>
        <v/>
      </c>
    </row>
    <row r="54" ht="127.5" customHeight="1" s="191">
      <c r="A54" s="24" t="inlineStr">
        <is>
          <t>ES4) Supplier Responsibility</t>
        </is>
      </c>
      <c r="B54" s="68" t="inlineStr">
        <is>
          <t>ES401</t>
        </is>
      </c>
      <c r="C54" s="20" t="inlineStr">
        <is>
          <t>O</t>
        </is>
      </c>
      <c r="D54" s="33" t="inlineStr">
        <is>
          <t>Conformance</t>
        </is>
      </c>
      <c r="E54" s="8">
        <f>IF(AND(D54&lt;&gt;"Conformance", D54&lt;&gt;"N/A"),"X","")</f>
        <v/>
      </c>
      <c r="F54" s="68" t="n"/>
      <c r="G54" s="68" t="n"/>
      <c r="H54" s="9">
        <f>IF(AND(F54="X",G54=D54),"X",IF(AND(F54="X",G54="Major", D54="Priority"),"X",""))</f>
        <v/>
      </c>
      <c r="I54" s="68" t="n"/>
      <c r="J54" s="25" t="inlineStr">
        <is>
          <t>The CoC requirement communication to next-tier major suppliers</t>
        </is>
      </c>
      <c r="K54" s="72" t="inlineStr">
        <is>
          <t>The RBA Code requirements have been communicated to the next-tier suppliers</t>
        </is>
      </c>
      <c r="L5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(communication of Code requirements)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(truyền thông yêu cầu)</t>
          </r>
        </is>
      </c>
      <c r="M54" s="117" t="inlineStr">
        <is>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4" s="77" t="n"/>
      <c r="O54" s="76" t="inlineStr">
        <is>
          <t>O</t>
        </is>
      </c>
      <c r="P54" s="76" t="inlineStr">
        <is>
          <t>O</t>
        </is>
      </c>
      <c r="Q54" s="76" t="inlineStr">
        <is>
          <t>O</t>
        </is>
      </c>
      <c r="R54" s="8" t="inlineStr">
        <is>
          <t>Labor</t>
        </is>
      </c>
      <c r="S54" s="8">
        <f>VLOOKUP(B54&amp;D54&amp;R54,[2]Table!$D:$E,2,0)</f>
        <v/>
      </c>
    </row>
    <row r="55" ht="127.5" customHeight="1" s="191">
      <c r="A55" s="24" t="inlineStr">
        <is>
          <t>ES4) Supplier Responsibility</t>
        </is>
      </c>
      <c r="B55" s="68" t="inlineStr">
        <is>
          <t>ES402</t>
        </is>
      </c>
      <c r="C55" s="20" t="inlineStr">
        <is>
          <t>O</t>
        </is>
      </c>
      <c r="D55" s="33" t="inlineStr">
        <is>
          <t>Conformance</t>
        </is>
      </c>
      <c r="E55" s="8">
        <f>IF(AND(D55&lt;&gt;"Conformance", D55&lt;&gt;"N/A"),"X","")</f>
        <v/>
      </c>
      <c r="F55" s="68" t="n"/>
      <c r="G55" s="68" t="n"/>
      <c r="H55" s="9">
        <f>IF(AND(F55="X",G55=D55),"X",IF(AND(F55="X",G55="Major", D55="Priority"),"X",""))</f>
        <v/>
      </c>
      <c r="I55" s="68" t="n"/>
      <c r="J55" s="25" t="inlineStr">
        <is>
          <t>The identification for next-tier major suppliers</t>
        </is>
      </c>
      <c r="K55" s="72" t="inlineStr">
        <is>
          <t>Next-tier major suppliers have been identified</t>
        </is>
      </c>
      <c r="L55"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(identification of major suppliers)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(xác định nhà cung cấp chính)</t>
          </r>
        </is>
      </c>
      <c r="M55" s="117" t="inlineStr">
        <is>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5" s="77" t="n"/>
      <c r="O55" s="76" t="inlineStr">
        <is>
          <t>O</t>
        </is>
      </c>
      <c r="P55" s="76" t="inlineStr">
        <is>
          <t>O</t>
        </is>
      </c>
      <c r="Q55" s="76" t="inlineStr">
        <is>
          <t>O</t>
        </is>
      </c>
      <c r="R55" s="8" t="inlineStr">
        <is>
          <t>Labor</t>
        </is>
      </c>
      <c r="S55" s="8">
        <f>VLOOKUP(B55&amp;D55&amp;R55,[2]Table!$D:$E,2,0)</f>
        <v/>
      </c>
    </row>
    <row r="56" ht="127.5" customHeight="1" s="191">
      <c r="A56" s="24" t="inlineStr">
        <is>
          <t>ES4) Supplier Responsibility</t>
        </is>
      </c>
      <c r="B56" s="68" t="inlineStr">
        <is>
          <t>ES403</t>
        </is>
      </c>
      <c r="C56" s="20" t="inlineStr">
        <is>
          <t>O</t>
        </is>
      </c>
      <c r="D56" s="33" t="inlineStr">
        <is>
          <t>Conformance</t>
        </is>
      </c>
      <c r="E56" s="8">
        <f>IF(AND(D56&lt;&gt;"Conformance", D56&lt;&gt;"N/A"),"X","")</f>
        <v/>
      </c>
      <c r="F56" s="68" t="n"/>
      <c r="G56" s="68" t="n"/>
      <c r="H56" s="9">
        <f>IF(AND(F56="X",G56=D56),"X",IF(AND(F56="X",G56="Major", D56="Priority"),"X",""))</f>
        <v/>
      </c>
      <c r="I56" s="68" t="n"/>
      <c r="J56" s="25" t="inlineStr">
        <is>
          <t>The RBA Code implementation process</t>
        </is>
      </c>
      <c r="K56" s="72" t="inlineStr">
        <is>
          <t>An adequate and effective process is established to ensure that the next-tier major suppliers implement the RBA Code</t>
        </is>
      </c>
      <c r="L5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(supplier implementation of the RBA Code)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(triển khai Bộ quy tắc RBA)</t>
          </r>
        </is>
      </c>
      <c r="M56" s="117" t="inlineStr">
        <is>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6" s="77" t="n"/>
      <c r="O56" s="76" t="inlineStr">
        <is>
          <t>O</t>
        </is>
      </c>
      <c r="P56" s="76" t="inlineStr">
        <is>
          <t>O</t>
        </is>
      </c>
      <c r="Q56" s="76" t="inlineStr">
        <is>
          <t>O</t>
        </is>
      </c>
      <c r="R56" s="8" t="inlineStr">
        <is>
          <t>Labor</t>
        </is>
      </c>
      <c r="S56" s="8">
        <f>VLOOKUP(B56&amp;D56&amp;R56,[2]Table!$D:$E,2,0)</f>
        <v/>
      </c>
    </row>
    <row r="57" ht="171" customHeight="1" s="191">
      <c r="A57" s="24" t="inlineStr">
        <is>
          <t>ES4) Supplier Responsibility</t>
        </is>
      </c>
      <c r="B57" s="68" t="inlineStr">
        <is>
          <t>ES404</t>
        </is>
      </c>
      <c r="C57" s="20" t="inlineStr">
        <is>
          <t>O</t>
        </is>
      </c>
      <c r="D57" s="33" t="inlineStr">
        <is>
          <t>Conformance</t>
        </is>
      </c>
      <c r="E57" s="8">
        <f>IF(AND(D57&lt;&gt;"Conformance", D57&lt;&gt;"N/A"),"X","")</f>
        <v/>
      </c>
      <c r="F57" s="68" t="n"/>
      <c r="G57" s="68" t="n"/>
      <c r="H57" s="9">
        <f>IF(AND(F57="X",G57=D57),"X",IF(AND(F57="X",G57="Major", D57="Priority"),"X",""))</f>
        <v/>
      </c>
      <c r="I57" s="68" t="n"/>
      <c r="J57" s="25" t="inlineStr">
        <is>
          <t>The RBA Code improvement process</t>
        </is>
      </c>
      <c r="K57" s="72" t="inlineStr">
        <is>
          <t>An adequate and effective process is established to ensure suppliers' RBA Code implementation performance and continuous  improvement</t>
        </is>
      </c>
      <c r="L5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(continuous improvement)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(cải tiến liên tục)</t>
          </r>
        </is>
      </c>
      <c r="M57" s="117" t="inlineStr">
        <is>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7" s="77" t="n"/>
      <c r="O57" s="76" t="inlineStr">
        <is>
          <t>O</t>
        </is>
      </c>
      <c r="P57" s="76" t="inlineStr">
        <is>
          <t>O</t>
        </is>
      </c>
      <c r="Q57" s="76" t="inlineStr">
        <is>
          <t>O</t>
        </is>
      </c>
      <c r="R57" s="8" t="inlineStr">
        <is>
          <t>Labor</t>
        </is>
      </c>
      <c r="S57" s="8">
        <f>VLOOKUP(B57&amp;D57&amp;R57,[2]Table!$D:$E,2,0)</f>
        <v/>
      </c>
    </row>
  </sheetData>
  <autoFilter ref="A5:S57"/>
  <conditionalFormatting sqref="D6:D57">
    <cfRule type="cellIs" priority="1" operator="equal" dxfId="6">
      <formula>"conformance"</formula>
    </cfRule>
    <cfRule type="cellIs" priority="2" operator="equal" dxfId="5">
      <formula>"minor"</formula>
    </cfRule>
    <cfRule type="cellIs" priority="3" operator="equal" dxfId="4">
      <formula>"Risk of nonconformance"</formula>
    </cfRule>
    <cfRule type="cellIs" priority="4" operator="equal" dxfId="3">
      <formula>"Major"</formula>
    </cfRule>
    <cfRule type="cellIs" priority="5" operator="equal" dxfId="2">
      <formula>"Priority"</formula>
    </cfRule>
    <cfRule type="containsText" priority="6" operator="containsText" dxfId="1" text="Not Reviewed">
      <formula>NOT(ISERROR(SEARCH("Not Reviewed",D6)))</formula>
    </cfRule>
    <cfRule type="cellIs" priority="7" operator="equal" dxfId="0">
      <formula>"Out of Scope"</formula>
    </cfRule>
  </conditionalFormatting>
  <dataValidations count="2">
    <dataValidation sqref="L6:L57" showDropDown="0" showInputMessage="1" showErrorMessage="1" allowBlank="1" type="textLength" operator="lessThan">
      <formula1>2500</formula1>
    </dataValidation>
    <dataValidation sqref="D6:D57" showDropDown="0" showInputMessage="1" showErrorMessage="1" allowBlank="1" type="list">
      <formula1>"Conformance,Priority, Major, Minor"</formula1>
    </dataValidation>
  </dataValidations>
  <printOptions horizontalCentered="1"/>
  <pageMargins left="0.5" right="0.5" top="0.5" bottom="0.5" header="0" footer="0"/>
  <pageSetup orientation="landscape" paperSize="9" scale="7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I22"/>
  <sheetViews>
    <sheetView showGridLines="0" workbookViewId="0">
      <selection activeCell="C18" sqref="C18:F18"/>
    </sheetView>
  </sheetViews>
  <sheetFormatPr baseColWidth="8" defaultColWidth="9" defaultRowHeight="14.4"/>
  <cols>
    <col width="1.109375" customWidth="1" style="191" min="1" max="1"/>
    <col width="13.33203125" customWidth="1" style="191" min="2" max="2"/>
    <col width="56.6640625" customWidth="1" style="191" min="3" max="3"/>
    <col width="22.44140625" customWidth="1" style="191" min="4" max="4"/>
    <col width="23.6640625" customWidth="1" style="191" min="5" max="5"/>
    <col width="26.33203125" customWidth="1" style="191" min="6" max="6"/>
    <col width="24.88671875" customWidth="1" style="191" min="7" max="7"/>
    <col width="18" customWidth="1" style="191" min="8" max="8"/>
    <col width="15.6640625" customWidth="1" style="191" min="9" max="9"/>
  </cols>
  <sheetData>
    <row r="1" ht="15" customHeight="1" s="191" thickTop="1">
      <c r="B1" s="30" t="inlineStr">
        <is>
          <t>Audit ID</t>
        </is>
      </c>
      <c r="C1" s="210" t="inlineStr">
        <is>
          <t>Reference Table</t>
        </is>
      </c>
      <c r="D1" s="211" t="n"/>
      <c r="E1" s="211" t="n"/>
      <c r="F1" s="211" t="n"/>
      <c r="G1" s="211" t="n"/>
      <c r="H1" s="211" t="n"/>
      <c r="I1" s="212" t="n"/>
    </row>
    <row r="2" ht="24.75" customHeight="1" s="191">
      <c r="B2" s="182" t="inlineStr">
        <is>
          <t>AL101</t>
        </is>
      </c>
      <c r="C2" s="183" t="inlineStr">
        <is>
          <r>
            <rPr>
              <rFont val="돋움"/>
              <charset val="129"/>
              <family val="3"/>
              <b val="1"/>
              <color theme="1"/>
              <sz val="10"/>
            </rPr>
            <t>■</t>
          </r>
          <r>
            <rPr>
              <rFont val="Arial"/>
              <family val="2"/>
              <b val="1"/>
              <color theme="1"/>
              <sz val="10"/>
            </rPr>
            <t xml:space="preserve"> Prohibited recruitment and hiring fees that were paid and not reimbursed within 90 days, or as soon as practicable upon discovery.</t>
          </r>
        </is>
      </c>
      <c r="D2" s="201" t="n"/>
      <c r="E2" s="201" t="n"/>
      <c r="F2" s="201" t="n"/>
      <c r="G2" s="79" t="n"/>
      <c r="H2" s="80" t="n"/>
      <c r="I2" s="81" t="n"/>
    </row>
    <row r="3" ht="39.6" customHeight="1" s="191">
      <c r="B3" s="213" t="n"/>
      <c r="C3" s="35" t="inlineStr">
        <is>
          <t>Frequency/Severity in monthly gross base wages</t>
        </is>
      </c>
      <c r="D3" s="82" t="inlineStr">
        <is>
          <t>0-5%
(&lt;1 month gross base salary)</t>
        </is>
      </c>
      <c r="E3" s="82" t="inlineStr">
        <is>
          <t>5% - 100%
(&lt;1 month gross base salary)</t>
        </is>
      </c>
      <c r="F3" s="82" t="inlineStr">
        <is>
          <t>100% - 150%
(&gt;1 month - 1.5 month gross base salary)</t>
        </is>
      </c>
      <c r="G3" s="82" t="inlineStr">
        <is>
          <t>&gt;150%
(&gt; 1.5 month gross base salary)</t>
        </is>
      </c>
      <c r="H3" s="83" t="n"/>
      <c r="I3" s="84" t="n"/>
    </row>
    <row r="4">
      <c r="B4" s="213" t="n"/>
      <c r="C4" s="85" t="inlineStr">
        <is>
          <t>&lt;1% or 3 workers or fewer (whichever is greater)</t>
        </is>
      </c>
      <c r="D4" s="86" t="inlineStr">
        <is>
          <t>Minor</t>
        </is>
      </c>
      <c r="E4" s="86" t="inlineStr">
        <is>
          <t>Minor</t>
        </is>
      </c>
      <c r="F4" s="87" t="inlineStr">
        <is>
          <t>Major</t>
        </is>
      </c>
      <c r="G4" s="88" t="inlineStr">
        <is>
          <t>Priority</t>
        </is>
      </c>
      <c r="H4" s="89" t="n"/>
      <c r="I4" s="90" t="n"/>
    </row>
    <row r="5">
      <c r="B5" s="213" t="n"/>
      <c r="C5" s="85" t="inlineStr">
        <is>
          <t>&gt;1%-5% or more than 3 workers but less than 7 workers</t>
        </is>
      </c>
      <c r="D5" s="87" t="inlineStr">
        <is>
          <t>Major</t>
        </is>
      </c>
      <c r="E5" s="87" t="inlineStr">
        <is>
          <t>Major</t>
        </is>
      </c>
      <c r="F5" s="87" t="inlineStr">
        <is>
          <t>Major</t>
        </is>
      </c>
      <c r="G5" s="88" t="inlineStr">
        <is>
          <t>Priority</t>
        </is>
      </c>
      <c r="H5" s="89" t="n"/>
      <c r="I5" s="90" t="n"/>
    </row>
    <row r="6">
      <c r="B6" s="213" t="n"/>
      <c r="C6" s="85" t="inlineStr">
        <is>
          <t>&gt;5%-40% or more than 7 workers</t>
        </is>
      </c>
      <c r="D6" s="87" t="inlineStr">
        <is>
          <t>Major</t>
        </is>
      </c>
      <c r="E6" s="87" t="inlineStr">
        <is>
          <t>Major</t>
        </is>
      </c>
      <c r="F6" s="88" t="inlineStr">
        <is>
          <t>Priority</t>
        </is>
      </c>
      <c r="G6" s="88" t="inlineStr">
        <is>
          <t>Priority</t>
        </is>
      </c>
      <c r="H6" s="89" t="n"/>
      <c r="I6" s="90" t="n"/>
    </row>
    <row r="7">
      <c r="B7" s="214" t="n"/>
      <c r="C7" s="85" t="inlineStr">
        <is>
          <t>&gt;40%</t>
        </is>
      </c>
      <c r="D7" s="87" t="inlineStr">
        <is>
          <t>Major</t>
        </is>
      </c>
      <c r="E7" s="88" t="inlineStr">
        <is>
          <t>Priority</t>
        </is>
      </c>
      <c r="F7" s="88" t="inlineStr">
        <is>
          <t>Priority</t>
        </is>
      </c>
      <c r="G7" s="88" t="inlineStr">
        <is>
          <t>Priority</t>
        </is>
      </c>
      <c r="H7" s="89" t="n"/>
      <c r="I7" s="90" t="n"/>
    </row>
    <row r="8">
      <c r="B8" s="31" t="n"/>
      <c r="C8" s="28" t="n"/>
      <c r="D8" s="29" t="n"/>
      <c r="E8" s="29" t="n"/>
      <c r="F8" s="29" t="n"/>
      <c r="G8" s="34" t="n"/>
      <c r="H8" s="34" t="n"/>
      <c r="I8" s="91" t="n"/>
    </row>
    <row r="9" ht="15.6" customHeight="1" s="191">
      <c r="B9" s="185" t="inlineStr">
        <is>
          <t>AL301</t>
        </is>
      </c>
      <c r="C9" s="92" t="inlineStr">
        <is>
          <t>Weekly working hours</t>
        </is>
      </c>
      <c r="D9" s="93" t="inlineStr">
        <is>
          <t>Ratio ≤1%**</t>
        </is>
      </c>
      <c r="E9" s="93" t="inlineStr">
        <is>
          <t>1% &lt; Ratio ≤5%</t>
        </is>
      </c>
      <c r="F9" s="93" t="inlineStr">
        <is>
          <t>5% &lt; Ratio ≤15%</t>
        </is>
      </c>
      <c r="G9" s="93" t="inlineStr">
        <is>
          <t>15% &lt; Ratio ≤40%</t>
        </is>
      </c>
      <c r="H9" s="93" t="inlineStr">
        <is>
          <t>Ratio &gt; 40%</t>
        </is>
      </c>
      <c r="I9" s="94" t="inlineStr">
        <is>
          <t>Remark</t>
        </is>
      </c>
    </row>
    <row r="10" ht="24" customHeight="1" s="191">
      <c r="B10" s="213" t="n"/>
      <c r="C10" s="95" t="inlineStr">
        <is>
          <t>&gt; 84 hours</t>
        </is>
      </c>
      <c r="D10" s="215" t="inlineStr">
        <is>
          <t>Priority</t>
        </is>
      </c>
      <c r="E10" s="216" t="n"/>
      <c r="F10" s="216" t="n"/>
      <c r="G10" s="216" t="n"/>
      <c r="H10" s="217" t="n"/>
      <c r="I10" s="96" t="inlineStr">
        <is>
          <r>
            <t xml:space="preserve"> - </t>
          </r>
          <r>
            <rPr>
              <rFont val="Arial"/>
              <family val="2"/>
              <b val="1"/>
              <color rgb="FF0000FF"/>
              <sz val="9"/>
            </rPr>
            <t>If anyone found, priority violation</t>
          </r>
        </is>
      </c>
    </row>
    <row r="11" ht="15.6" customHeight="1" s="191">
      <c r="B11" s="213" t="n"/>
      <c r="C11" s="95" t="inlineStr">
        <is>
          <t>72 &lt; hours &lt;= 84</t>
        </is>
      </c>
      <c r="D11" s="97" t="inlineStr">
        <is>
          <t>Conformance</t>
        </is>
      </c>
      <c r="E11" s="98" t="inlineStr">
        <is>
          <t>Minor</t>
        </is>
      </c>
      <c r="F11" s="99" t="inlineStr">
        <is>
          <t>Major</t>
        </is>
      </c>
      <c r="G11" s="100" t="inlineStr">
        <is>
          <t>Priority</t>
        </is>
      </c>
      <c r="H11" s="100" t="inlineStr">
        <is>
          <t>Priority</t>
        </is>
      </c>
      <c r="I11" s="101" t="n"/>
    </row>
    <row r="12" ht="22.8" customHeight="1" s="191">
      <c r="B12" s="213" t="n"/>
      <c r="C12" s="95" t="inlineStr">
        <is>
          <t>60 &lt; hours &lt;= 72</t>
        </is>
      </c>
      <c r="D12" s="97" t="inlineStr">
        <is>
          <t>Conformance</t>
        </is>
      </c>
      <c r="E12" s="97" t="inlineStr">
        <is>
          <t>Conformance</t>
        </is>
      </c>
      <c r="F12" s="98" t="inlineStr">
        <is>
          <t>Minor</t>
        </is>
      </c>
      <c r="G12" s="99" t="inlineStr">
        <is>
          <t>Major</t>
        </is>
      </c>
      <c r="H12" s="100" t="inlineStr">
        <is>
          <t>Priority</t>
        </is>
      </c>
      <c r="I12" s="32" t="n"/>
    </row>
    <row r="13" ht="22.8" customHeight="1" s="191">
      <c r="B13" s="213" t="n"/>
      <c r="C13" s="95" t="inlineStr">
        <is>
          <t>Local law &lt; hours &lt;= 60</t>
        </is>
      </c>
      <c r="D13" s="97" t="inlineStr">
        <is>
          <t>Conformance</t>
        </is>
      </c>
      <c r="E13" s="97" t="inlineStr">
        <is>
          <t>Conformance</t>
        </is>
      </c>
      <c r="F13" s="98" t="inlineStr">
        <is>
          <t>Minor</t>
        </is>
      </c>
      <c r="G13" s="98" t="inlineStr">
        <is>
          <t>Minor</t>
        </is>
      </c>
      <c r="H13" s="99" t="inlineStr">
        <is>
          <t>Major</t>
        </is>
      </c>
      <c r="I13" s="32" t="n"/>
    </row>
    <row r="14" ht="16.5" customHeight="1" s="191">
      <c r="B14" s="214" t="n"/>
      <c r="C14" s="95" t="inlineStr">
        <is>
          <t>hrs &lt;= 60 and hrs &lt;= local law</t>
        </is>
      </c>
      <c r="D14" s="218" t="inlineStr">
        <is>
          <t>Conformance</t>
        </is>
      </c>
      <c r="E14" s="216" t="n"/>
      <c r="F14" s="216" t="n"/>
      <c r="G14" s="216" t="n"/>
      <c r="H14" s="217" t="n"/>
      <c r="I14" s="32" t="n"/>
    </row>
    <row r="15">
      <c r="B15" s="102" t="n"/>
      <c r="C15" s="79" t="n"/>
      <c r="D15" s="79" t="n"/>
      <c r="E15" s="79" t="n"/>
      <c r="F15" s="79" t="n"/>
      <c r="G15" s="79" t="n"/>
      <c r="H15" s="79" t="n"/>
      <c r="I15" s="91" t="n"/>
    </row>
    <row r="16" ht="15.6" customHeight="1" s="191">
      <c r="B16" s="219" t="inlineStr">
        <is>
          <t>AL302</t>
        </is>
      </c>
      <c r="C16" s="103" t="inlineStr">
        <is>
          <t xml:space="preserve">Consecutive working days </t>
        </is>
      </c>
      <c r="D16" s="93" t="inlineStr">
        <is>
          <t>≤1%**</t>
        </is>
      </c>
      <c r="E16" s="93" t="inlineStr">
        <is>
          <t>&gt;1% to ≤5%</t>
        </is>
      </c>
      <c r="F16" s="93" t="inlineStr">
        <is>
          <t>&gt;5% to ≤40%</t>
        </is>
      </c>
      <c r="G16" s="93" t="inlineStr">
        <is>
          <t>&gt;40%</t>
        </is>
      </c>
      <c r="H16" s="104" t="n"/>
      <c r="I16" s="91" t="n"/>
    </row>
    <row r="17" ht="15.6" customHeight="1" s="191">
      <c r="B17" s="213" t="n"/>
      <c r="C17" s="105" t="inlineStr">
        <is>
          <t>24 &lt;= CWD</t>
        </is>
      </c>
      <c r="D17" s="100" t="inlineStr">
        <is>
          <t>Priority</t>
        </is>
      </c>
      <c r="E17" s="216" t="n"/>
      <c r="F17" s="216" t="n"/>
      <c r="G17" s="220" t="n"/>
      <c r="H17" s="104" t="n"/>
      <c r="I17" s="91" t="n"/>
    </row>
    <row r="18" ht="15.6" customHeight="1" s="191">
      <c r="B18" s="213" t="n"/>
      <c r="C18" s="105" t="inlineStr">
        <is>
          <t>12 &lt;= CWD &lt; 24</t>
        </is>
      </c>
      <c r="D18" s="98" t="inlineStr">
        <is>
          <t>Minor</t>
        </is>
      </c>
      <c r="E18" s="98" t="inlineStr">
        <is>
          <t>Minor</t>
        </is>
      </c>
      <c r="F18" s="99" t="inlineStr">
        <is>
          <t>Major</t>
        </is>
      </c>
      <c r="G18" s="100" t="inlineStr">
        <is>
          <t>Priority</t>
        </is>
      </c>
      <c r="H18" s="104" t="n"/>
      <c r="I18" s="91" t="n"/>
    </row>
    <row r="19" ht="15.6" customHeight="1" s="191">
      <c r="B19" s="213" t="n"/>
      <c r="C19" s="106" t="inlineStr">
        <is>
          <t>6 &lt; CWD &lt;12</t>
        </is>
      </c>
      <c r="D19" s="107" t="inlineStr">
        <is>
          <t>Conformance</t>
        </is>
      </c>
      <c r="E19" s="108" t="inlineStr">
        <is>
          <t>Minor</t>
        </is>
      </c>
      <c r="F19" s="108" t="inlineStr">
        <is>
          <t>Minor</t>
        </is>
      </c>
      <c r="G19" s="109" t="inlineStr">
        <is>
          <t>Major</t>
        </is>
      </c>
      <c r="H19" s="104" t="n"/>
      <c r="I19" s="91" t="n"/>
    </row>
    <row r="20" ht="16.2" customHeight="1" s="191" thickBot="1">
      <c r="B20" s="221" t="n"/>
      <c r="C20" s="110" t="inlineStr">
        <is>
          <r>
            <rPr>
              <rFont val="돋움"/>
              <charset val="129"/>
              <family val="3"/>
              <color rgb="FF000000"/>
              <sz val="9"/>
            </rPr>
            <t>≤</t>
          </r>
          <r>
            <rPr>
              <rFont val="Arial"/>
              <family val="2"/>
              <color rgb="FF000000"/>
              <sz val="9"/>
            </rPr>
            <t>6 CWD</t>
          </r>
        </is>
      </c>
      <c r="D20" s="181" t="inlineStr">
        <is>
          <t>Conformance</t>
        </is>
      </c>
      <c r="E20" s="222" t="n"/>
      <c r="F20" s="222" t="n"/>
      <c r="G20" s="223" t="n"/>
      <c r="H20" s="111" t="n"/>
      <c r="I20" s="112" t="n"/>
    </row>
    <row r="21" ht="15" customHeight="1" s="191" thickTop="1">
      <c r="B21" s="79" t="n"/>
      <c r="C21" s="79" t="n"/>
      <c r="D21" s="79" t="n"/>
      <c r="E21" s="79" t="n"/>
      <c r="F21" s="79" t="n"/>
      <c r="G21" s="79" t="n"/>
    </row>
    <row r="22">
      <c r="B22" s="79" t="n"/>
      <c r="C22" s="79" t="n"/>
      <c r="D22" s="79" t="n"/>
      <c r="E22" s="79" t="n"/>
      <c r="F22" s="79" t="n"/>
      <c r="G22" s="79" t="n"/>
    </row>
  </sheetData>
  <mergeCells count="9">
    <mergeCell ref="B9:B14"/>
    <mergeCell ref="D17:G17"/>
    <mergeCell ref="D10:H10"/>
    <mergeCell ref="D20:G20"/>
    <mergeCell ref="B2:B7"/>
    <mergeCell ref="D14:H14"/>
    <mergeCell ref="C1:I1"/>
    <mergeCell ref="C2:F2"/>
    <mergeCell ref="B16:B20"/>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E466"/>
  <sheetViews>
    <sheetView topLeftCell="A310" workbookViewId="0">
      <selection activeCell="I370" sqref="I370"/>
    </sheetView>
  </sheetViews>
  <sheetFormatPr baseColWidth="8" defaultRowHeight="14.4"/>
  <cols>
    <col width="9" customWidth="1" style="66" min="1" max="1"/>
    <col width="12.88671875" customWidth="1" style="191" min="2" max="3"/>
    <col width="23.6640625" bestFit="1" customWidth="1" style="191" min="4" max="4"/>
    <col width="12.88671875" bestFit="1" customWidth="1" style="224" min="5" max="5"/>
  </cols>
  <sheetData>
    <row r="1">
      <c r="A1" s="36" t="inlineStr">
        <is>
          <t>Audit ID</t>
        </is>
      </c>
      <c r="B1" s="61" t="inlineStr">
        <is>
          <t>Grade</t>
        </is>
      </c>
      <c r="C1" s="61" t="inlineStr">
        <is>
          <t>Section</t>
        </is>
      </c>
      <c r="D1" s="61" t="inlineStr">
        <is>
          <t>ID&amp;Grade&amp;Section</t>
        </is>
      </c>
      <c r="E1" s="225" t="inlineStr">
        <is>
          <t>Score</t>
        </is>
      </c>
    </row>
    <row r="2">
      <c r="A2" s="61" t="inlineStr">
        <is>
          <t>AL101</t>
        </is>
      </c>
      <c r="B2" s="61" t="inlineStr">
        <is>
          <t>Conformance</t>
        </is>
      </c>
      <c r="C2" s="61" t="inlineStr">
        <is>
          <t>Labor</t>
        </is>
      </c>
      <c r="D2" s="61">
        <f>A2&amp;B2&amp;C2</f>
        <v/>
      </c>
      <c r="E2" s="226" t="n">
        <v>5</v>
      </c>
    </row>
    <row r="3">
      <c r="A3" s="61" t="inlineStr">
        <is>
          <t>AL101</t>
        </is>
      </c>
      <c r="B3" s="61" t="inlineStr">
        <is>
          <t>Priority</t>
        </is>
      </c>
      <c r="C3" s="61" t="inlineStr">
        <is>
          <t>Labor</t>
        </is>
      </c>
      <c r="D3" s="61">
        <f>A3&amp;B3&amp;C3</f>
        <v/>
      </c>
      <c r="E3" s="226" t="n">
        <v>0</v>
      </c>
    </row>
    <row r="4">
      <c r="A4" s="61" t="inlineStr">
        <is>
          <t>AL101</t>
        </is>
      </c>
      <c r="B4" s="61" t="inlineStr">
        <is>
          <t>Major</t>
        </is>
      </c>
      <c r="C4" s="61" t="inlineStr">
        <is>
          <t>Labor</t>
        </is>
      </c>
      <c r="D4" s="61">
        <f>A4&amp;B4&amp;C4</f>
        <v/>
      </c>
      <c r="E4" s="226" t="n">
        <v>1</v>
      </c>
    </row>
    <row r="5">
      <c r="A5" s="61" t="inlineStr">
        <is>
          <t>AL101</t>
        </is>
      </c>
      <c r="B5" s="61" t="inlineStr">
        <is>
          <t>Minor</t>
        </is>
      </c>
      <c r="C5" s="61" t="inlineStr">
        <is>
          <t>Labor</t>
        </is>
      </c>
      <c r="D5" s="61">
        <f>A5&amp;B5&amp;C5</f>
        <v/>
      </c>
      <c r="E5" s="226" t="n">
        <v>3</v>
      </c>
    </row>
    <row r="6">
      <c r="A6" s="61" t="inlineStr">
        <is>
          <t>AL101</t>
        </is>
      </c>
      <c r="B6" s="61" t="inlineStr">
        <is>
          <t>N/A</t>
        </is>
      </c>
      <c r="C6" s="61" t="inlineStr">
        <is>
          <t>Labor</t>
        </is>
      </c>
      <c r="D6" s="61">
        <f>A6&amp;B6&amp;C6</f>
        <v/>
      </c>
      <c r="E6" s="226" t="n">
        <v>5</v>
      </c>
    </row>
    <row r="7">
      <c r="A7" s="61" t="inlineStr">
        <is>
          <t>AL102</t>
        </is>
      </c>
      <c r="B7" s="61" t="inlineStr">
        <is>
          <t>Conformance</t>
        </is>
      </c>
      <c r="C7" s="61" t="inlineStr">
        <is>
          <t>Labor</t>
        </is>
      </c>
      <c r="D7" s="61">
        <f>A7&amp;B7&amp;C7</f>
        <v/>
      </c>
      <c r="E7" s="225" t="n">
        <v>4</v>
      </c>
    </row>
    <row r="8">
      <c r="A8" s="61" t="inlineStr">
        <is>
          <t>AL102</t>
        </is>
      </c>
      <c r="B8" s="61" t="inlineStr">
        <is>
          <t>Priority</t>
        </is>
      </c>
      <c r="C8" s="61" t="inlineStr">
        <is>
          <t>Labor</t>
        </is>
      </c>
      <c r="D8" s="61">
        <f>A8&amp;B8&amp;C8</f>
        <v/>
      </c>
      <c r="E8" s="225" t="n">
        <v>0</v>
      </c>
    </row>
    <row r="9">
      <c r="A9" s="61" t="inlineStr">
        <is>
          <t>AL102</t>
        </is>
      </c>
      <c r="B9" s="61" t="inlineStr">
        <is>
          <t>Major</t>
        </is>
      </c>
      <c r="C9" s="61" t="inlineStr">
        <is>
          <t>Labor</t>
        </is>
      </c>
      <c r="D9" s="61">
        <f>A9&amp;B9&amp;C9</f>
        <v/>
      </c>
      <c r="E9" s="225" t="n">
        <v>1</v>
      </c>
    </row>
    <row r="10">
      <c r="A10" s="61" t="inlineStr">
        <is>
          <t>AL102</t>
        </is>
      </c>
      <c r="B10" s="61" t="inlineStr">
        <is>
          <t>Minor</t>
        </is>
      </c>
      <c r="C10" s="61" t="inlineStr">
        <is>
          <t>Labor</t>
        </is>
      </c>
      <c r="D10" s="61">
        <f>A10&amp;B10&amp;C10</f>
        <v/>
      </c>
      <c r="E10" s="225" t="n">
        <v>2</v>
      </c>
    </row>
    <row r="11">
      <c r="A11" s="61" t="inlineStr">
        <is>
          <t>AL102</t>
        </is>
      </c>
      <c r="B11" s="61" t="inlineStr">
        <is>
          <t>N/A</t>
        </is>
      </c>
      <c r="C11" s="61" t="inlineStr">
        <is>
          <t>Labor</t>
        </is>
      </c>
      <c r="D11" s="61">
        <f>A11&amp;B11&amp;C11</f>
        <v/>
      </c>
      <c r="E11" s="225" t="n">
        <v>4</v>
      </c>
    </row>
    <row r="12">
      <c r="A12" s="61" t="inlineStr">
        <is>
          <t>AL103</t>
        </is>
      </c>
      <c r="B12" s="61" t="inlineStr">
        <is>
          <t>Conformance</t>
        </is>
      </c>
      <c r="C12" s="61" t="inlineStr">
        <is>
          <t>Labor</t>
        </is>
      </c>
      <c r="D12" s="61">
        <f>A12&amp;B12&amp;C12</f>
        <v/>
      </c>
      <c r="E12" s="225" t="n">
        <v>4</v>
      </c>
    </row>
    <row r="13">
      <c r="A13" s="61" t="inlineStr">
        <is>
          <t>AL103</t>
        </is>
      </c>
      <c r="B13" s="61" t="inlineStr">
        <is>
          <t>Priority</t>
        </is>
      </c>
      <c r="C13" s="61" t="inlineStr">
        <is>
          <t>Labor</t>
        </is>
      </c>
      <c r="D13" s="61">
        <f>A13&amp;B13&amp;C13</f>
        <v/>
      </c>
      <c r="E13" s="225" t="n">
        <v>0</v>
      </c>
    </row>
    <row r="14">
      <c r="A14" s="61" t="inlineStr">
        <is>
          <t>AL103</t>
        </is>
      </c>
      <c r="B14" s="61" t="inlineStr">
        <is>
          <t>Major</t>
        </is>
      </c>
      <c r="C14" s="61" t="inlineStr">
        <is>
          <t>Labor</t>
        </is>
      </c>
      <c r="D14" s="61">
        <f>A14&amp;B14&amp;C14</f>
        <v/>
      </c>
      <c r="E14" s="225" t="n">
        <v>1</v>
      </c>
    </row>
    <row r="15">
      <c r="A15" s="61" t="inlineStr">
        <is>
          <t>AL103</t>
        </is>
      </c>
      <c r="B15" s="61" t="inlineStr">
        <is>
          <t>Minor</t>
        </is>
      </c>
      <c r="C15" s="61" t="inlineStr">
        <is>
          <t>Labor</t>
        </is>
      </c>
      <c r="D15" s="61">
        <f>A15&amp;B15&amp;C15</f>
        <v/>
      </c>
      <c r="E15" s="225" t="n">
        <v>2</v>
      </c>
    </row>
    <row r="16">
      <c r="A16" s="61" t="inlineStr">
        <is>
          <t>AL103</t>
        </is>
      </c>
      <c r="B16" s="61" t="inlineStr">
        <is>
          <t>N/A</t>
        </is>
      </c>
      <c r="C16" s="61" t="inlineStr">
        <is>
          <t>Labor</t>
        </is>
      </c>
      <c r="D16" s="61">
        <f>A16&amp;B16&amp;C16</f>
        <v/>
      </c>
      <c r="E16" s="225" t="n">
        <v>4</v>
      </c>
    </row>
    <row r="17">
      <c r="A17" s="61" t="inlineStr">
        <is>
          <t>AL201</t>
        </is>
      </c>
      <c r="B17" s="61" t="inlineStr">
        <is>
          <t>Conformance</t>
        </is>
      </c>
      <c r="C17" s="61" t="inlineStr">
        <is>
          <t>Labor</t>
        </is>
      </c>
      <c r="D17" s="61">
        <f>A17&amp;B17&amp;C17</f>
        <v/>
      </c>
      <c r="E17" s="227" t="n">
        <v>5</v>
      </c>
    </row>
    <row r="18">
      <c r="A18" s="61" t="inlineStr">
        <is>
          <t>AL201</t>
        </is>
      </c>
      <c r="B18" s="61" t="inlineStr">
        <is>
          <t>Priority</t>
        </is>
      </c>
      <c r="C18" s="61" t="inlineStr">
        <is>
          <t>Labor</t>
        </is>
      </c>
      <c r="D18" s="61">
        <f>A18&amp;B18&amp;C18</f>
        <v/>
      </c>
      <c r="E18" s="227" t="n">
        <v>0</v>
      </c>
    </row>
    <row r="19">
      <c r="A19" s="61" t="inlineStr">
        <is>
          <t>AL201</t>
        </is>
      </c>
      <c r="B19" s="61" t="inlineStr">
        <is>
          <t>Major</t>
        </is>
      </c>
      <c r="C19" s="61" t="inlineStr">
        <is>
          <t>Labor</t>
        </is>
      </c>
      <c r="D19" s="61">
        <f>A19&amp;B19&amp;C19</f>
        <v/>
      </c>
      <c r="E19" s="227" t="n">
        <v>1</v>
      </c>
    </row>
    <row r="20">
      <c r="A20" s="61" t="inlineStr">
        <is>
          <t>AL201</t>
        </is>
      </c>
      <c r="B20" s="61" t="inlineStr">
        <is>
          <t>Minor</t>
        </is>
      </c>
      <c r="C20" s="61" t="inlineStr">
        <is>
          <t>Labor</t>
        </is>
      </c>
      <c r="D20" s="61">
        <f>A20&amp;B20&amp;C20</f>
        <v/>
      </c>
      <c r="E20" s="227" t="n">
        <v>3</v>
      </c>
    </row>
    <row r="21">
      <c r="A21" s="61" t="inlineStr">
        <is>
          <t>AL201</t>
        </is>
      </c>
      <c r="B21" s="61" t="inlineStr">
        <is>
          <t>N/A</t>
        </is>
      </c>
      <c r="C21" s="61" t="inlineStr">
        <is>
          <t>Labor</t>
        </is>
      </c>
      <c r="D21" s="61">
        <f>A21&amp;B21&amp;C21</f>
        <v/>
      </c>
      <c r="E21" s="227" t="n">
        <v>5</v>
      </c>
    </row>
    <row r="22">
      <c r="A22" s="61" t="inlineStr">
        <is>
          <t>AL202</t>
        </is>
      </c>
      <c r="B22" s="61" t="inlineStr">
        <is>
          <t>Conformance</t>
        </is>
      </c>
      <c r="C22" s="61" t="inlineStr">
        <is>
          <t>Labor</t>
        </is>
      </c>
      <c r="D22" s="61">
        <f>A22&amp;B22&amp;C22</f>
        <v/>
      </c>
      <c r="E22" s="227" t="n">
        <v>4</v>
      </c>
    </row>
    <row r="23">
      <c r="A23" s="61" t="inlineStr">
        <is>
          <t>AL202</t>
        </is>
      </c>
      <c r="B23" s="61" t="inlineStr">
        <is>
          <t>Priority</t>
        </is>
      </c>
      <c r="C23" s="61" t="inlineStr">
        <is>
          <t>Labor</t>
        </is>
      </c>
      <c r="D23" s="61">
        <f>A23&amp;B23&amp;C23</f>
        <v/>
      </c>
      <c r="E23" s="227" t="n">
        <v>0</v>
      </c>
    </row>
    <row r="24">
      <c r="A24" s="61" t="inlineStr">
        <is>
          <t>AL202</t>
        </is>
      </c>
      <c r="B24" s="61" t="inlineStr">
        <is>
          <t>Major</t>
        </is>
      </c>
      <c r="C24" s="61" t="inlineStr">
        <is>
          <t>Labor</t>
        </is>
      </c>
      <c r="D24" s="61">
        <f>A24&amp;B24&amp;C24</f>
        <v/>
      </c>
      <c r="E24" s="227" t="n">
        <v>1</v>
      </c>
    </row>
    <row r="25">
      <c r="A25" s="61" t="inlineStr">
        <is>
          <t>AL202</t>
        </is>
      </c>
      <c r="B25" s="61" t="inlineStr">
        <is>
          <t>Minor</t>
        </is>
      </c>
      <c r="C25" s="61" t="inlineStr">
        <is>
          <t>Labor</t>
        </is>
      </c>
      <c r="D25" s="61">
        <f>A25&amp;B25&amp;C25</f>
        <v/>
      </c>
      <c r="E25" s="227" t="n">
        <v>2</v>
      </c>
    </row>
    <row r="26">
      <c r="A26" s="61" t="inlineStr">
        <is>
          <t>AL202</t>
        </is>
      </c>
      <c r="B26" s="61" t="inlineStr">
        <is>
          <t>N/A</t>
        </is>
      </c>
      <c r="C26" s="61" t="inlineStr">
        <is>
          <t>Labor</t>
        </is>
      </c>
      <c r="D26" s="61">
        <f>A26&amp;B26&amp;C26</f>
        <v/>
      </c>
      <c r="E26" s="227" t="n">
        <v>4</v>
      </c>
    </row>
    <row r="27">
      <c r="A27" s="61" t="inlineStr">
        <is>
          <t>AL203</t>
        </is>
      </c>
      <c r="B27" s="61" t="inlineStr">
        <is>
          <t>Conformance</t>
        </is>
      </c>
      <c r="C27" s="61" t="inlineStr">
        <is>
          <t>Labor</t>
        </is>
      </c>
      <c r="D27" s="61">
        <f>A27&amp;B27&amp;C27</f>
        <v/>
      </c>
      <c r="E27" s="227" t="n">
        <v>3</v>
      </c>
    </row>
    <row r="28">
      <c r="A28" s="61" t="inlineStr">
        <is>
          <t>AL203</t>
        </is>
      </c>
      <c r="B28" s="61" t="inlineStr">
        <is>
          <t>Priority</t>
        </is>
      </c>
      <c r="C28" s="61" t="inlineStr">
        <is>
          <t>Labor</t>
        </is>
      </c>
      <c r="D28" s="61">
        <f>A28&amp;B28&amp;C28</f>
        <v/>
      </c>
      <c r="E28" s="227" t="n">
        <v>0</v>
      </c>
    </row>
    <row r="29">
      <c r="A29" s="61" t="inlineStr">
        <is>
          <t>AL203</t>
        </is>
      </c>
      <c r="B29" s="61" t="inlineStr">
        <is>
          <t>Major</t>
        </is>
      </c>
      <c r="C29" s="61" t="inlineStr">
        <is>
          <t>Labor</t>
        </is>
      </c>
      <c r="D29" s="61">
        <f>A29&amp;B29&amp;C29</f>
        <v/>
      </c>
      <c r="E29" s="227" t="n">
        <v>0</v>
      </c>
    </row>
    <row r="30">
      <c r="A30" s="61" t="inlineStr">
        <is>
          <t>AL203</t>
        </is>
      </c>
      <c r="B30" s="61" t="inlineStr">
        <is>
          <t>Minor</t>
        </is>
      </c>
      <c r="C30" s="61" t="inlineStr">
        <is>
          <t>Labor</t>
        </is>
      </c>
      <c r="D30" s="61">
        <f>A30&amp;B30&amp;C30</f>
        <v/>
      </c>
      <c r="E30" s="227" t="n">
        <v>1</v>
      </c>
    </row>
    <row r="31">
      <c r="A31" s="61" t="inlineStr">
        <is>
          <t>AL203</t>
        </is>
      </c>
      <c r="B31" s="61" t="inlineStr">
        <is>
          <t>N/A</t>
        </is>
      </c>
      <c r="C31" s="61" t="inlineStr">
        <is>
          <t>Labor</t>
        </is>
      </c>
      <c r="D31" s="61">
        <f>A31&amp;B31&amp;C31</f>
        <v/>
      </c>
      <c r="E31" s="227" t="n">
        <v>3</v>
      </c>
    </row>
    <row r="32">
      <c r="A32" s="61" t="inlineStr">
        <is>
          <t>AL301</t>
        </is>
      </c>
      <c r="B32" s="61" t="inlineStr">
        <is>
          <t>Conformance</t>
        </is>
      </c>
      <c r="C32" s="61" t="inlineStr">
        <is>
          <t>Labor</t>
        </is>
      </c>
      <c r="D32" s="61">
        <f>A32&amp;B32&amp;C32</f>
        <v/>
      </c>
      <c r="E32" s="227" t="n">
        <v>5</v>
      </c>
    </row>
    <row r="33">
      <c r="A33" s="61" t="inlineStr">
        <is>
          <t>AL301</t>
        </is>
      </c>
      <c r="B33" s="61" t="inlineStr">
        <is>
          <t>Priority</t>
        </is>
      </c>
      <c r="C33" s="61" t="inlineStr">
        <is>
          <t>Labor</t>
        </is>
      </c>
      <c r="D33" s="61">
        <f>A33&amp;B33&amp;C33</f>
        <v/>
      </c>
      <c r="E33" s="227" t="n">
        <v>0</v>
      </c>
    </row>
    <row r="34">
      <c r="A34" s="61" t="inlineStr">
        <is>
          <t>AL301</t>
        </is>
      </c>
      <c r="B34" s="61" t="inlineStr">
        <is>
          <t>Major</t>
        </is>
      </c>
      <c r="C34" s="61" t="inlineStr">
        <is>
          <t>Labor</t>
        </is>
      </c>
      <c r="D34" s="61">
        <f>A34&amp;B34&amp;C34</f>
        <v/>
      </c>
      <c r="E34" s="227" t="n">
        <v>1</v>
      </c>
    </row>
    <row r="35">
      <c r="A35" s="61" t="inlineStr">
        <is>
          <t>AL301</t>
        </is>
      </c>
      <c r="B35" s="61" t="inlineStr">
        <is>
          <t>Minor</t>
        </is>
      </c>
      <c r="C35" s="61" t="inlineStr">
        <is>
          <t>Labor</t>
        </is>
      </c>
      <c r="D35" s="61">
        <f>A35&amp;B35&amp;C35</f>
        <v/>
      </c>
      <c r="E35" s="227" t="n">
        <v>3</v>
      </c>
    </row>
    <row r="36">
      <c r="A36" s="61" t="inlineStr">
        <is>
          <t>AL301</t>
        </is>
      </c>
      <c r="B36" s="61" t="inlineStr">
        <is>
          <t>N/A</t>
        </is>
      </c>
      <c r="C36" s="61" t="inlineStr">
        <is>
          <t>Labor</t>
        </is>
      </c>
      <c r="D36" s="61">
        <f>A36&amp;B36&amp;C36</f>
        <v/>
      </c>
      <c r="E36" s="227" t="n">
        <v>5</v>
      </c>
    </row>
    <row r="37">
      <c r="A37" s="61" t="inlineStr">
        <is>
          <t>AL302</t>
        </is>
      </c>
      <c r="B37" s="61" t="inlineStr">
        <is>
          <t>Conformance</t>
        </is>
      </c>
      <c r="C37" s="61" t="inlineStr">
        <is>
          <t>Labor</t>
        </is>
      </c>
      <c r="D37" s="61">
        <f>A37&amp;B37&amp;C37</f>
        <v/>
      </c>
      <c r="E37" s="227" t="n">
        <v>4</v>
      </c>
    </row>
    <row r="38">
      <c r="A38" s="61" t="inlineStr">
        <is>
          <t>AL302</t>
        </is>
      </c>
      <c r="B38" s="61" t="inlineStr">
        <is>
          <t>Priority</t>
        </is>
      </c>
      <c r="C38" s="61" t="inlineStr">
        <is>
          <t>Labor</t>
        </is>
      </c>
      <c r="D38" s="61">
        <f>A38&amp;B38&amp;C38</f>
        <v/>
      </c>
      <c r="E38" s="227" t="n">
        <v>0</v>
      </c>
    </row>
    <row r="39">
      <c r="A39" s="61" t="inlineStr">
        <is>
          <t>AL302</t>
        </is>
      </c>
      <c r="B39" s="61" t="inlineStr">
        <is>
          <t>Major</t>
        </is>
      </c>
      <c r="C39" s="61" t="inlineStr">
        <is>
          <t>Labor</t>
        </is>
      </c>
      <c r="D39" s="61">
        <f>A39&amp;B39&amp;C39</f>
        <v/>
      </c>
      <c r="E39" s="227" t="n">
        <v>1</v>
      </c>
    </row>
    <row r="40">
      <c r="A40" s="61" t="inlineStr">
        <is>
          <t>AL302</t>
        </is>
      </c>
      <c r="B40" s="61" t="inlineStr">
        <is>
          <t>Minor</t>
        </is>
      </c>
      <c r="C40" s="61" t="inlineStr">
        <is>
          <t>Labor</t>
        </is>
      </c>
      <c r="D40" s="61">
        <f>A40&amp;B40&amp;C40</f>
        <v/>
      </c>
      <c r="E40" s="227" t="n">
        <v>2</v>
      </c>
    </row>
    <row r="41">
      <c r="A41" s="61" t="inlineStr">
        <is>
          <t>AL302</t>
        </is>
      </c>
      <c r="B41" s="61" t="inlineStr">
        <is>
          <t>N/A</t>
        </is>
      </c>
      <c r="C41" s="61" t="inlineStr">
        <is>
          <t>Labor</t>
        </is>
      </c>
      <c r="D41" s="61">
        <f>A41&amp;B41&amp;C41</f>
        <v/>
      </c>
      <c r="E41" s="227" t="n">
        <v>4</v>
      </c>
    </row>
    <row r="42">
      <c r="A42" s="61" t="inlineStr">
        <is>
          <t>AL303</t>
        </is>
      </c>
      <c r="B42" s="61" t="inlineStr">
        <is>
          <t>Conformance</t>
        </is>
      </c>
      <c r="C42" s="61" t="inlineStr">
        <is>
          <t>Labor</t>
        </is>
      </c>
      <c r="D42" s="61">
        <f>A42&amp;B42&amp;C42</f>
        <v/>
      </c>
      <c r="E42" s="227" t="n">
        <v>4</v>
      </c>
    </row>
    <row r="43">
      <c r="A43" s="61" t="inlineStr">
        <is>
          <t>AL303</t>
        </is>
      </c>
      <c r="B43" s="61" t="inlineStr">
        <is>
          <t>Priority</t>
        </is>
      </c>
      <c r="C43" s="61" t="inlineStr">
        <is>
          <t>Labor</t>
        </is>
      </c>
      <c r="D43" s="61">
        <f>A43&amp;B43&amp;C43</f>
        <v/>
      </c>
      <c r="E43" s="227" t="n">
        <v>0</v>
      </c>
    </row>
    <row r="44">
      <c r="A44" s="61" t="inlineStr">
        <is>
          <t>AL303</t>
        </is>
      </c>
      <c r="B44" s="61" t="inlineStr">
        <is>
          <t>Major</t>
        </is>
      </c>
      <c r="C44" s="61" t="inlineStr">
        <is>
          <t>Labor</t>
        </is>
      </c>
      <c r="D44" s="61">
        <f>A44&amp;B44&amp;C44</f>
        <v/>
      </c>
      <c r="E44" s="227" t="n">
        <v>1</v>
      </c>
    </row>
    <row r="45">
      <c r="A45" s="61" t="inlineStr">
        <is>
          <t>AL303</t>
        </is>
      </c>
      <c r="B45" s="61" t="inlineStr">
        <is>
          <t>Minor</t>
        </is>
      </c>
      <c r="C45" s="61" t="inlineStr">
        <is>
          <t>Labor</t>
        </is>
      </c>
      <c r="D45" s="61">
        <f>A45&amp;B45&amp;C45</f>
        <v/>
      </c>
      <c r="E45" s="227" t="n">
        <v>2</v>
      </c>
    </row>
    <row r="46">
      <c r="A46" s="61" t="inlineStr">
        <is>
          <t>AL303</t>
        </is>
      </c>
      <c r="B46" s="61" t="inlineStr">
        <is>
          <t>N/A</t>
        </is>
      </c>
      <c r="C46" s="61" t="inlineStr">
        <is>
          <t>Labor</t>
        </is>
      </c>
      <c r="D46" s="61">
        <f>A46&amp;B46&amp;C46</f>
        <v/>
      </c>
      <c r="E46" s="227" t="n">
        <v>4</v>
      </c>
    </row>
    <row r="47">
      <c r="A47" s="61" t="inlineStr">
        <is>
          <t>AL401</t>
        </is>
      </c>
      <c r="B47" s="61" t="inlineStr">
        <is>
          <t>Conformance</t>
        </is>
      </c>
      <c r="C47" s="61" t="inlineStr">
        <is>
          <t>Labor</t>
        </is>
      </c>
      <c r="D47" s="61">
        <f>A47&amp;B47&amp;C47</f>
        <v/>
      </c>
      <c r="E47" s="227" t="n">
        <v>5</v>
      </c>
    </row>
    <row r="48">
      <c r="A48" s="61" t="inlineStr">
        <is>
          <t>AL401</t>
        </is>
      </c>
      <c r="B48" s="61" t="inlineStr">
        <is>
          <t>Priority</t>
        </is>
      </c>
      <c r="C48" s="61" t="inlineStr">
        <is>
          <t>Labor</t>
        </is>
      </c>
      <c r="D48" s="61">
        <f>A48&amp;B48&amp;C48</f>
        <v/>
      </c>
      <c r="E48" s="227" t="n">
        <v>0</v>
      </c>
    </row>
    <row r="49">
      <c r="A49" s="61" t="inlineStr">
        <is>
          <t>AL401</t>
        </is>
      </c>
      <c r="B49" s="61" t="inlineStr">
        <is>
          <t>Major</t>
        </is>
      </c>
      <c r="C49" s="61" t="inlineStr">
        <is>
          <t>Labor</t>
        </is>
      </c>
      <c r="D49" s="61">
        <f>A49&amp;B49&amp;C49</f>
        <v/>
      </c>
      <c r="E49" s="227" t="n">
        <v>1</v>
      </c>
    </row>
    <row r="50">
      <c r="A50" s="61" t="inlineStr">
        <is>
          <t>AL401</t>
        </is>
      </c>
      <c r="B50" s="61" t="inlineStr">
        <is>
          <t>Minor</t>
        </is>
      </c>
      <c r="C50" s="61" t="inlineStr">
        <is>
          <t>Labor</t>
        </is>
      </c>
      <c r="D50" s="61">
        <f>A50&amp;B50&amp;C50</f>
        <v/>
      </c>
      <c r="E50" s="227" t="n">
        <v>3</v>
      </c>
    </row>
    <row r="51">
      <c r="A51" s="61" t="inlineStr">
        <is>
          <t>AL401</t>
        </is>
      </c>
      <c r="B51" s="61" t="inlineStr">
        <is>
          <t>N/A</t>
        </is>
      </c>
      <c r="C51" s="61" t="inlineStr">
        <is>
          <t>Labor</t>
        </is>
      </c>
      <c r="D51" s="61">
        <f>A51&amp;B51&amp;C51</f>
        <v/>
      </c>
      <c r="E51" s="227" t="n">
        <v>5</v>
      </c>
    </row>
    <row r="52">
      <c r="A52" s="61" t="inlineStr">
        <is>
          <t>AL402</t>
        </is>
      </c>
      <c r="B52" s="61" t="inlineStr">
        <is>
          <t>Conformance</t>
        </is>
      </c>
      <c r="C52" s="61" t="inlineStr">
        <is>
          <t>Labor</t>
        </is>
      </c>
      <c r="D52" s="61">
        <f>A52&amp;B52&amp;C52</f>
        <v/>
      </c>
      <c r="E52" s="227" t="n">
        <v>4</v>
      </c>
    </row>
    <row r="53">
      <c r="A53" s="61" t="inlineStr">
        <is>
          <t>AL402</t>
        </is>
      </c>
      <c r="B53" s="61" t="inlineStr">
        <is>
          <t>Priority</t>
        </is>
      </c>
      <c r="C53" s="61" t="inlineStr">
        <is>
          <t>Labor</t>
        </is>
      </c>
      <c r="D53" s="61">
        <f>A53&amp;B53&amp;C53</f>
        <v/>
      </c>
      <c r="E53" s="227" t="n">
        <v>0</v>
      </c>
    </row>
    <row r="54">
      <c r="A54" s="61" t="inlineStr">
        <is>
          <t>AL402</t>
        </is>
      </c>
      <c r="B54" s="61" t="inlineStr">
        <is>
          <t>Major</t>
        </is>
      </c>
      <c r="C54" s="61" t="inlineStr">
        <is>
          <t>Labor</t>
        </is>
      </c>
      <c r="D54" s="61">
        <f>A54&amp;B54&amp;C54</f>
        <v/>
      </c>
      <c r="E54" s="227" t="n">
        <v>1</v>
      </c>
    </row>
    <row r="55">
      <c r="A55" s="61" t="inlineStr">
        <is>
          <t>AL402</t>
        </is>
      </c>
      <c r="B55" s="61" t="inlineStr">
        <is>
          <t>Minor</t>
        </is>
      </c>
      <c r="C55" s="61" t="inlineStr">
        <is>
          <t>Labor</t>
        </is>
      </c>
      <c r="D55" s="61">
        <f>A55&amp;B55&amp;C55</f>
        <v/>
      </c>
      <c r="E55" s="227" t="n">
        <v>2</v>
      </c>
    </row>
    <row r="56">
      <c r="A56" s="61" t="inlineStr">
        <is>
          <t>AL402</t>
        </is>
      </c>
      <c r="B56" s="61" t="inlineStr">
        <is>
          <t>N/A</t>
        </is>
      </c>
      <c r="C56" s="61" t="inlineStr">
        <is>
          <t>Labor</t>
        </is>
      </c>
      <c r="D56" s="61">
        <f>A56&amp;B56&amp;C56</f>
        <v/>
      </c>
      <c r="E56" s="227" t="n">
        <v>4</v>
      </c>
    </row>
    <row r="57">
      <c r="A57" s="61" t="inlineStr">
        <is>
          <t>AL403</t>
        </is>
      </c>
      <c r="B57" s="61" t="inlineStr">
        <is>
          <t>Conformance</t>
        </is>
      </c>
      <c r="C57" s="61" t="inlineStr">
        <is>
          <t>Labor</t>
        </is>
      </c>
      <c r="D57" s="61">
        <f>A57&amp;B57&amp;C57</f>
        <v/>
      </c>
      <c r="E57" s="227" t="n">
        <v>5</v>
      </c>
    </row>
    <row r="58">
      <c r="A58" s="61" t="inlineStr">
        <is>
          <t>AL403</t>
        </is>
      </c>
      <c r="B58" s="61" t="inlineStr">
        <is>
          <t>Priority</t>
        </is>
      </c>
      <c r="C58" s="61" t="inlineStr">
        <is>
          <t>Labor</t>
        </is>
      </c>
      <c r="D58" s="61">
        <f>A58&amp;B58&amp;C58</f>
        <v/>
      </c>
      <c r="E58" s="227" t="n">
        <v>0</v>
      </c>
    </row>
    <row r="59">
      <c r="A59" s="61" t="inlineStr">
        <is>
          <t>AL403</t>
        </is>
      </c>
      <c r="B59" s="61" t="inlineStr">
        <is>
          <t>Major</t>
        </is>
      </c>
      <c r="C59" s="61" t="inlineStr">
        <is>
          <t>Labor</t>
        </is>
      </c>
      <c r="D59" s="61">
        <f>A59&amp;B59&amp;C59</f>
        <v/>
      </c>
      <c r="E59" s="227" t="n">
        <v>1</v>
      </c>
    </row>
    <row r="60">
      <c r="A60" s="61" t="inlineStr">
        <is>
          <t>AL403</t>
        </is>
      </c>
      <c r="B60" s="61" t="inlineStr">
        <is>
          <t>Minor</t>
        </is>
      </c>
      <c r="C60" s="61" t="inlineStr">
        <is>
          <t>Labor</t>
        </is>
      </c>
      <c r="D60" s="61">
        <f>A60&amp;B60&amp;C60</f>
        <v/>
      </c>
      <c r="E60" s="227" t="n">
        <v>3</v>
      </c>
    </row>
    <row r="61">
      <c r="A61" s="61" t="inlineStr">
        <is>
          <t>AL403</t>
        </is>
      </c>
      <c r="B61" s="61" t="inlineStr">
        <is>
          <t>N/A</t>
        </is>
      </c>
      <c r="C61" s="61" t="inlineStr">
        <is>
          <t>Labor</t>
        </is>
      </c>
      <c r="D61" s="61">
        <f>A61&amp;B61&amp;C61</f>
        <v/>
      </c>
      <c r="E61" s="227" t="n">
        <v>5</v>
      </c>
    </row>
    <row r="62">
      <c r="A62" s="61" t="inlineStr">
        <is>
          <t>AL501</t>
        </is>
      </c>
      <c r="B62" s="61" t="inlineStr">
        <is>
          <t>Conformance</t>
        </is>
      </c>
      <c r="C62" s="61" t="inlineStr">
        <is>
          <t>Labor</t>
        </is>
      </c>
      <c r="D62" s="61">
        <f>A62&amp;B62&amp;C62</f>
        <v/>
      </c>
      <c r="E62" s="227" t="n">
        <v>5</v>
      </c>
    </row>
    <row r="63">
      <c r="A63" s="61" t="inlineStr">
        <is>
          <t>AL501</t>
        </is>
      </c>
      <c r="B63" s="61" t="inlineStr">
        <is>
          <t>Priority</t>
        </is>
      </c>
      <c r="C63" s="61" t="inlineStr">
        <is>
          <t>Labor</t>
        </is>
      </c>
      <c r="D63" s="61">
        <f>A63&amp;B63&amp;C63</f>
        <v/>
      </c>
      <c r="E63" s="227" t="n">
        <v>0</v>
      </c>
    </row>
    <row r="64">
      <c r="A64" s="61" t="inlineStr">
        <is>
          <t>AL501</t>
        </is>
      </c>
      <c r="B64" s="61" t="inlineStr">
        <is>
          <t>Major</t>
        </is>
      </c>
      <c r="C64" s="61" t="inlineStr">
        <is>
          <t>Labor</t>
        </is>
      </c>
      <c r="D64" s="61">
        <f>A64&amp;B64&amp;C64</f>
        <v/>
      </c>
      <c r="E64" s="227" t="n">
        <v>1</v>
      </c>
    </row>
    <row r="65">
      <c r="A65" s="61" t="inlineStr">
        <is>
          <t>AL501</t>
        </is>
      </c>
      <c r="B65" s="61" t="inlineStr">
        <is>
          <t>Minor</t>
        </is>
      </c>
      <c r="C65" s="61" t="inlineStr">
        <is>
          <t>Labor</t>
        </is>
      </c>
      <c r="D65" s="61">
        <f>A65&amp;B65&amp;C65</f>
        <v/>
      </c>
      <c r="E65" s="227" t="n">
        <v>3</v>
      </c>
    </row>
    <row r="66">
      <c r="A66" s="61" t="inlineStr">
        <is>
          <t>AL501</t>
        </is>
      </c>
      <c r="B66" s="61" t="inlineStr">
        <is>
          <t>N/A</t>
        </is>
      </c>
      <c r="C66" s="61" t="inlineStr">
        <is>
          <t>Labor</t>
        </is>
      </c>
      <c r="D66" s="61">
        <f>A66&amp;B66&amp;C66</f>
        <v/>
      </c>
      <c r="E66" s="227" t="n">
        <v>5</v>
      </c>
    </row>
    <row r="67">
      <c r="A67" s="61" t="inlineStr">
        <is>
          <t>AL502</t>
        </is>
      </c>
      <c r="B67" s="61" t="inlineStr">
        <is>
          <t>Conformance</t>
        </is>
      </c>
      <c r="C67" s="61" t="inlineStr">
        <is>
          <t>Labor</t>
        </is>
      </c>
      <c r="D67" s="61">
        <f>A67&amp;B67&amp;C67</f>
        <v/>
      </c>
      <c r="E67" s="227" t="n">
        <v>3</v>
      </c>
    </row>
    <row r="68">
      <c r="A68" s="61" t="inlineStr">
        <is>
          <t>AL502</t>
        </is>
      </c>
      <c r="B68" s="61" t="inlineStr">
        <is>
          <t>Priority</t>
        </is>
      </c>
      <c r="C68" s="61" t="inlineStr">
        <is>
          <t>Labor</t>
        </is>
      </c>
      <c r="D68" s="61">
        <f>A68&amp;B68&amp;C68</f>
        <v/>
      </c>
      <c r="E68" s="227" t="n">
        <v>0</v>
      </c>
    </row>
    <row r="69">
      <c r="A69" s="61" t="inlineStr">
        <is>
          <t>AL502</t>
        </is>
      </c>
      <c r="B69" s="61" t="inlineStr">
        <is>
          <t>Major</t>
        </is>
      </c>
      <c r="C69" s="61" t="inlineStr">
        <is>
          <t>Labor</t>
        </is>
      </c>
      <c r="D69" s="61">
        <f>A69&amp;B69&amp;C69</f>
        <v/>
      </c>
      <c r="E69" s="227" t="n">
        <v>0</v>
      </c>
    </row>
    <row r="70">
      <c r="A70" s="61" t="inlineStr">
        <is>
          <t>AL502</t>
        </is>
      </c>
      <c r="B70" s="61" t="inlineStr">
        <is>
          <t>Minor</t>
        </is>
      </c>
      <c r="C70" s="61" t="inlineStr">
        <is>
          <t>Labor</t>
        </is>
      </c>
      <c r="D70" s="61">
        <f>A70&amp;B70&amp;C70</f>
        <v/>
      </c>
      <c r="E70" s="227" t="n">
        <v>1</v>
      </c>
    </row>
    <row r="71">
      <c r="A71" s="61" t="inlineStr">
        <is>
          <t>AL502</t>
        </is>
      </c>
      <c r="B71" s="61" t="inlineStr">
        <is>
          <t>N/A</t>
        </is>
      </c>
      <c r="C71" s="61" t="inlineStr">
        <is>
          <t>Labor</t>
        </is>
      </c>
      <c r="D71" s="61">
        <f>A71&amp;B71&amp;C71</f>
        <v/>
      </c>
      <c r="E71" s="227" t="n">
        <v>3</v>
      </c>
    </row>
    <row r="72">
      <c r="A72" s="61" t="inlineStr">
        <is>
          <t>AL503</t>
        </is>
      </c>
      <c r="B72" s="61" t="inlineStr">
        <is>
          <t>Conformance</t>
        </is>
      </c>
      <c r="C72" s="61" t="inlineStr">
        <is>
          <t>Labor</t>
        </is>
      </c>
      <c r="D72" s="61">
        <f>A72&amp;B72&amp;C72</f>
        <v/>
      </c>
      <c r="E72" s="227" t="n">
        <v>1</v>
      </c>
    </row>
    <row r="73">
      <c r="A73" s="61" t="inlineStr">
        <is>
          <t>AL503</t>
        </is>
      </c>
      <c r="B73" s="61" t="inlineStr">
        <is>
          <t>Priority</t>
        </is>
      </c>
      <c r="C73" s="61" t="inlineStr">
        <is>
          <t>Labor</t>
        </is>
      </c>
      <c r="D73" s="61">
        <f>A73&amp;B73&amp;C73</f>
        <v/>
      </c>
      <c r="E73" s="227" t="n">
        <v>0</v>
      </c>
    </row>
    <row r="74">
      <c r="A74" s="61" t="inlineStr">
        <is>
          <t>AL503</t>
        </is>
      </c>
      <c r="B74" s="61" t="inlineStr">
        <is>
          <t>Major</t>
        </is>
      </c>
      <c r="C74" s="61" t="inlineStr">
        <is>
          <t>Labor</t>
        </is>
      </c>
      <c r="D74" s="61">
        <f>A74&amp;B74&amp;C74</f>
        <v/>
      </c>
      <c r="E74" s="227" t="n">
        <v>0.2</v>
      </c>
    </row>
    <row r="75">
      <c r="A75" s="61" t="inlineStr">
        <is>
          <t>AL503</t>
        </is>
      </c>
      <c r="B75" s="61" t="inlineStr">
        <is>
          <t>Minor</t>
        </is>
      </c>
      <c r="C75" s="61" t="inlineStr">
        <is>
          <t>Labor</t>
        </is>
      </c>
      <c r="D75" s="61">
        <f>A75&amp;B75&amp;C75</f>
        <v/>
      </c>
      <c r="E75" s="227" t="n">
        <v>0.5</v>
      </c>
    </row>
    <row r="76">
      <c r="A76" s="61" t="inlineStr">
        <is>
          <t>AL503</t>
        </is>
      </c>
      <c r="B76" s="61" t="inlineStr">
        <is>
          <t>N/A</t>
        </is>
      </c>
      <c r="C76" s="61" t="inlineStr">
        <is>
          <t>Labor</t>
        </is>
      </c>
      <c r="D76" s="61">
        <f>A76&amp;B76&amp;C76</f>
        <v/>
      </c>
      <c r="E76" s="227" t="n">
        <v>1</v>
      </c>
    </row>
    <row r="77">
      <c r="A77" s="61" t="inlineStr">
        <is>
          <t>AL504</t>
        </is>
      </c>
      <c r="B77" s="61" t="inlineStr">
        <is>
          <t>Conformance</t>
        </is>
      </c>
      <c r="C77" s="61" t="inlineStr">
        <is>
          <t>Labor</t>
        </is>
      </c>
      <c r="D77" s="61">
        <f>A77&amp;B77&amp;C77</f>
        <v/>
      </c>
      <c r="E77" s="227" t="n">
        <v>1</v>
      </c>
    </row>
    <row r="78">
      <c r="A78" s="61" t="inlineStr">
        <is>
          <t>AL504</t>
        </is>
      </c>
      <c r="B78" s="61" t="inlineStr">
        <is>
          <t>Priority</t>
        </is>
      </c>
      <c r="C78" s="61" t="inlineStr">
        <is>
          <t>Labor</t>
        </is>
      </c>
      <c r="D78" s="61">
        <f>A78&amp;B78&amp;C78</f>
        <v/>
      </c>
      <c r="E78" s="227" t="n">
        <v>0</v>
      </c>
    </row>
    <row r="79">
      <c r="A79" s="61" t="inlineStr">
        <is>
          <t>AL504</t>
        </is>
      </c>
      <c r="B79" s="61" t="inlineStr">
        <is>
          <t>Major</t>
        </is>
      </c>
      <c r="C79" s="61" t="inlineStr">
        <is>
          <t>Labor</t>
        </is>
      </c>
      <c r="D79" s="61">
        <f>A79&amp;B79&amp;C79</f>
        <v/>
      </c>
      <c r="E79" s="227" t="n">
        <v>0.2</v>
      </c>
    </row>
    <row r="80">
      <c r="A80" s="61" t="inlineStr">
        <is>
          <t>AL504</t>
        </is>
      </c>
      <c r="B80" s="61" t="inlineStr">
        <is>
          <t>Minor</t>
        </is>
      </c>
      <c r="C80" s="61" t="inlineStr">
        <is>
          <t>Labor</t>
        </is>
      </c>
      <c r="D80" s="61">
        <f>A80&amp;B80&amp;C80</f>
        <v/>
      </c>
      <c r="E80" s="227" t="n">
        <v>0.5</v>
      </c>
    </row>
    <row r="81">
      <c r="A81" s="61" t="inlineStr">
        <is>
          <t>AL504</t>
        </is>
      </c>
      <c r="B81" s="61" t="inlineStr">
        <is>
          <t>N/A</t>
        </is>
      </c>
      <c r="C81" s="61" t="inlineStr">
        <is>
          <t>Labor</t>
        </is>
      </c>
      <c r="D81" s="61">
        <f>A81&amp;B81&amp;C81</f>
        <v/>
      </c>
      <c r="E81" s="227" t="n">
        <v>1</v>
      </c>
    </row>
    <row r="82">
      <c r="A82" s="61" t="inlineStr">
        <is>
          <t>AL601</t>
        </is>
      </c>
      <c r="B82" s="61" t="inlineStr">
        <is>
          <t>Conformance</t>
        </is>
      </c>
      <c r="C82" s="61" t="inlineStr">
        <is>
          <t>Labor</t>
        </is>
      </c>
      <c r="D82" s="61">
        <f>A82&amp;B82&amp;C82</f>
        <v/>
      </c>
      <c r="E82" s="227" t="n">
        <v>2</v>
      </c>
    </row>
    <row r="83">
      <c r="A83" s="61" t="inlineStr">
        <is>
          <t>AL601</t>
        </is>
      </c>
      <c r="B83" s="61" t="inlineStr">
        <is>
          <t>Priority</t>
        </is>
      </c>
      <c r="C83" s="61" t="inlineStr">
        <is>
          <t>Labor</t>
        </is>
      </c>
      <c r="D83" s="61">
        <f>A83&amp;B83&amp;C83</f>
        <v/>
      </c>
      <c r="E83" s="227" t="n">
        <v>0</v>
      </c>
    </row>
    <row r="84">
      <c r="A84" s="61" t="inlineStr">
        <is>
          <t>AL601</t>
        </is>
      </c>
      <c r="B84" s="61" t="inlineStr">
        <is>
          <t>Major</t>
        </is>
      </c>
      <c r="C84" s="61" t="inlineStr">
        <is>
          <t>Labor</t>
        </is>
      </c>
      <c r="D84" s="61">
        <f>A84&amp;B84&amp;C84</f>
        <v/>
      </c>
      <c r="E84" s="227" t="n">
        <v>0.5</v>
      </c>
    </row>
    <row r="85">
      <c r="A85" s="61" t="inlineStr">
        <is>
          <t>AL601</t>
        </is>
      </c>
      <c r="B85" s="61" t="inlineStr">
        <is>
          <t>Minor</t>
        </is>
      </c>
      <c r="C85" s="61" t="inlineStr">
        <is>
          <t>Labor</t>
        </is>
      </c>
      <c r="D85" s="61">
        <f>A85&amp;B85&amp;C85</f>
        <v/>
      </c>
      <c r="E85" s="227" t="n">
        <v>1</v>
      </c>
    </row>
    <row r="86">
      <c r="A86" s="61" t="inlineStr">
        <is>
          <t>AL601</t>
        </is>
      </c>
      <c r="B86" s="61" t="inlineStr">
        <is>
          <t>N/A</t>
        </is>
      </c>
      <c r="C86" s="61" t="inlineStr">
        <is>
          <t>Labor</t>
        </is>
      </c>
      <c r="D86" s="61">
        <f>A86&amp;B86&amp;C86</f>
        <v/>
      </c>
      <c r="E86" s="227" t="n">
        <v>2</v>
      </c>
    </row>
    <row r="87">
      <c r="A87" s="61" t="inlineStr">
        <is>
          <t>AL602</t>
        </is>
      </c>
      <c r="B87" s="61" t="inlineStr">
        <is>
          <t>Conformance</t>
        </is>
      </c>
      <c r="C87" s="61" t="inlineStr">
        <is>
          <t>Labor</t>
        </is>
      </c>
      <c r="D87" s="61">
        <f>A87&amp;B87&amp;C87</f>
        <v/>
      </c>
      <c r="E87" s="227" t="n">
        <v>2</v>
      </c>
    </row>
    <row r="88">
      <c r="A88" s="61" t="inlineStr">
        <is>
          <t>AL602</t>
        </is>
      </c>
      <c r="B88" s="61" t="inlineStr">
        <is>
          <t>Priority</t>
        </is>
      </c>
      <c r="C88" s="61" t="inlineStr">
        <is>
          <t>Labor</t>
        </is>
      </c>
      <c r="D88" s="61">
        <f>A88&amp;B88&amp;C88</f>
        <v/>
      </c>
      <c r="E88" s="227" t="n">
        <v>0</v>
      </c>
    </row>
    <row r="89">
      <c r="A89" s="61" t="inlineStr">
        <is>
          <t>AL602</t>
        </is>
      </c>
      <c r="B89" s="61" t="inlineStr">
        <is>
          <t>Major</t>
        </is>
      </c>
      <c r="C89" s="61" t="inlineStr">
        <is>
          <t>Labor</t>
        </is>
      </c>
      <c r="D89" s="61">
        <f>A89&amp;B89&amp;C89</f>
        <v/>
      </c>
      <c r="E89" s="227" t="n">
        <v>0.5</v>
      </c>
    </row>
    <row r="90">
      <c r="A90" s="61" t="inlineStr">
        <is>
          <t>AL602</t>
        </is>
      </c>
      <c r="B90" s="61" t="inlineStr">
        <is>
          <t>Minor</t>
        </is>
      </c>
      <c r="C90" s="61" t="inlineStr">
        <is>
          <t>Labor</t>
        </is>
      </c>
      <c r="D90" s="61">
        <f>A90&amp;B90&amp;C90</f>
        <v/>
      </c>
      <c r="E90" s="227" t="n">
        <v>1</v>
      </c>
    </row>
    <row r="91">
      <c r="A91" s="61" t="inlineStr">
        <is>
          <t>AL602</t>
        </is>
      </c>
      <c r="B91" s="61" t="inlineStr">
        <is>
          <t>N/A</t>
        </is>
      </c>
      <c r="C91" s="61" t="inlineStr">
        <is>
          <t>Labor</t>
        </is>
      </c>
      <c r="D91" s="61">
        <f>A91&amp;B91&amp;C91</f>
        <v/>
      </c>
      <c r="E91" s="227" t="n">
        <v>2</v>
      </c>
    </row>
    <row r="92">
      <c r="A92" s="61" t="inlineStr">
        <is>
          <t>AL603</t>
        </is>
      </c>
      <c r="B92" s="61" t="inlineStr">
        <is>
          <t>Conformance</t>
        </is>
      </c>
      <c r="C92" s="61" t="inlineStr">
        <is>
          <t>Labor</t>
        </is>
      </c>
      <c r="D92" s="61">
        <f>A92&amp;B92&amp;C92</f>
        <v/>
      </c>
      <c r="E92" s="227" t="n">
        <v>2</v>
      </c>
    </row>
    <row r="93">
      <c r="A93" s="61" t="inlineStr">
        <is>
          <t>AL603</t>
        </is>
      </c>
      <c r="B93" s="61" t="inlineStr">
        <is>
          <t>Priority</t>
        </is>
      </c>
      <c r="C93" s="61" t="inlineStr">
        <is>
          <t>Labor</t>
        </is>
      </c>
      <c r="D93" s="61">
        <f>A93&amp;B93&amp;C93</f>
        <v/>
      </c>
      <c r="E93" s="227" t="n">
        <v>0</v>
      </c>
    </row>
    <row r="94">
      <c r="A94" s="61" t="inlineStr">
        <is>
          <t>AL603</t>
        </is>
      </c>
      <c r="B94" s="61" t="inlineStr">
        <is>
          <t>Major</t>
        </is>
      </c>
      <c r="C94" s="61" t="inlineStr">
        <is>
          <t>Labor</t>
        </is>
      </c>
      <c r="D94" s="61">
        <f>A94&amp;B94&amp;C94</f>
        <v/>
      </c>
      <c r="E94" s="227" t="n">
        <v>0.5</v>
      </c>
    </row>
    <row r="95">
      <c r="A95" s="61" t="inlineStr">
        <is>
          <t>AL603</t>
        </is>
      </c>
      <c r="B95" s="61" t="inlineStr">
        <is>
          <t>Minor</t>
        </is>
      </c>
      <c r="C95" s="61" t="inlineStr">
        <is>
          <t>Labor</t>
        </is>
      </c>
      <c r="D95" s="61">
        <f>A95&amp;B95&amp;C95</f>
        <v/>
      </c>
      <c r="E95" s="227" t="n">
        <v>1</v>
      </c>
    </row>
    <row r="96">
      <c r="A96" s="61" t="inlineStr">
        <is>
          <t>AL603</t>
        </is>
      </c>
      <c r="B96" s="61" t="inlineStr">
        <is>
          <t>N/A</t>
        </is>
      </c>
      <c r="C96" s="61" t="inlineStr">
        <is>
          <t>Labor</t>
        </is>
      </c>
      <c r="D96" s="61">
        <f>A96&amp;B96&amp;C96</f>
        <v/>
      </c>
      <c r="E96" s="227" t="n">
        <v>2</v>
      </c>
    </row>
    <row r="97">
      <c r="A97" s="61" t="inlineStr">
        <is>
          <t>AM101</t>
        </is>
      </c>
      <c r="B97" s="61" t="inlineStr">
        <is>
          <t>Conformance</t>
        </is>
      </c>
      <c r="C97" s="61" t="inlineStr">
        <is>
          <t>Labor</t>
        </is>
      </c>
      <c r="D97" s="61">
        <f>A97&amp;B97&amp;C97</f>
        <v/>
      </c>
      <c r="E97" s="227" t="n">
        <v>0.5</v>
      </c>
    </row>
    <row r="98">
      <c r="A98" s="61" t="inlineStr">
        <is>
          <t>AM101</t>
        </is>
      </c>
      <c r="B98" s="61" t="inlineStr">
        <is>
          <t>Priority</t>
        </is>
      </c>
      <c r="C98" s="61" t="inlineStr">
        <is>
          <t>Labor</t>
        </is>
      </c>
      <c r="D98" s="61">
        <f>A98&amp;B98&amp;C98</f>
        <v/>
      </c>
      <c r="E98" s="227" t="n">
        <v>0</v>
      </c>
    </row>
    <row r="99">
      <c r="A99" s="61" t="inlineStr">
        <is>
          <t>AM101</t>
        </is>
      </c>
      <c r="B99" s="61" t="inlineStr">
        <is>
          <t>Major</t>
        </is>
      </c>
      <c r="C99" s="61" t="inlineStr">
        <is>
          <t>Labor</t>
        </is>
      </c>
      <c r="D99" s="61">
        <f>A99&amp;B99&amp;C99</f>
        <v/>
      </c>
      <c r="E99" s="227" t="n">
        <v>0.1</v>
      </c>
    </row>
    <row r="100">
      <c r="A100" s="61" t="inlineStr">
        <is>
          <t>AM101</t>
        </is>
      </c>
      <c r="B100" s="61" t="inlineStr">
        <is>
          <t>Minor</t>
        </is>
      </c>
      <c r="C100" s="61" t="inlineStr">
        <is>
          <t>Labor</t>
        </is>
      </c>
      <c r="D100" s="61">
        <f>A100&amp;B100&amp;C100</f>
        <v/>
      </c>
      <c r="E100" s="227" t="n">
        <v>0.3</v>
      </c>
    </row>
    <row r="101">
      <c r="A101" s="61" t="inlineStr">
        <is>
          <t>AM101</t>
        </is>
      </c>
      <c r="B101" s="61" t="inlineStr">
        <is>
          <t>N/A</t>
        </is>
      </c>
      <c r="C101" s="61" t="inlineStr">
        <is>
          <t>Labor</t>
        </is>
      </c>
      <c r="D101" s="61">
        <f>A101&amp;B101&amp;C101</f>
        <v/>
      </c>
      <c r="E101" s="227" t="n">
        <v>0.5</v>
      </c>
    </row>
    <row r="102">
      <c r="A102" s="61" t="inlineStr">
        <is>
          <t>AM102</t>
        </is>
      </c>
      <c r="B102" s="61" t="inlineStr">
        <is>
          <t>Conformance</t>
        </is>
      </c>
      <c r="C102" s="61" t="inlineStr">
        <is>
          <t>Labor</t>
        </is>
      </c>
      <c r="D102" s="61">
        <f>A102&amp;B102&amp;C102</f>
        <v/>
      </c>
      <c r="E102" s="227" t="n">
        <v>0.5</v>
      </c>
    </row>
    <row r="103">
      <c r="A103" s="61" t="inlineStr">
        <is>
          <t>AM102</t>
        </is>
      </c>
      <c r="B103" s="61" t="inlineStr">
        <is>
          <t>Priority</t>
        </is>
      </c>
      <c r="C103" s="61" t="inlineStr">
        <is>
          <t>Labor</t>
        </is>
      </c>
      <c r="D103" s="61">
        <f>A103&amp;B103&amp;C103</f>
        <v/>
      </c>
      <c r="E103" s="227" t="n">
        <v>0</v>
      </c>
    </row>
    <row r="104">
      <c r="A104" s="61" t="inlineStr">
        <is>
          <t>AM102</t>
        </is>
      </c>
      <c r="B104" s="61" t="inlineStr">
        <is>
          <t>Major</t>
        </is>
      </c>
      <c r="C104" s="61" t="inlineStr">
        <is>
          <t>Labor</t>
        </is>
      </c>
      <c r="D104" s="61">
        <f>A104&amp;B104&amp;C104</f>
        <v/>
      </c>
      <c r="E104" s="227" t="n">
        <v>0.1</v>
      </c>
    </row>
    <row r="105">
      <c r="A105" s="61" t="inlineStr">
        <is>
          <t>AM102</t>
        </is>
      </c>
      <c r="B105" s="61" t="inlineStr">
        <is>
          <t>Minor</t>
        </is>
      </c>
      <c r="C105" s="61" t="inlineStr">
        <is>
          <t>Labor</t>
        </is>
      </c>
      <c r="D105" s="61">
        <f>A105&amp;B105&amp;C105</f>
        <v/>
      </c>
      <c r="E105" s="227" t="n">
        <v>0.3</v>
      </c>
    </row>
    <row r="106">
      <c r="A106" s="61" t="inlineStr">
        <is>
          <t>AM102</t>
        </is>
      </c>
      <c r="B106" s="61" t="inlineStr">
        <is>
          <t>N/A</t>
        </is>
      </c>
      <c r="C106" s="61" t="inlineStr">
        <is>
          <t>Labor</t>
        </is>
      </c>
      <c r="D106" s="61">
        <f>A106&amp;B106&amp;C106</f>
        <v/>
      </c>
      <c r="E106" s="227" t="n">
        <v>0.5</v>
      </c>
    </row>
    <row r="107">
      <c r="A107" s="61" t="inlineStr">
        <is>
          <t>AM201</t>
        </is>
      </c>
      <c r="B107" s="61" t="inlineStr">
        <is>
          <t>Conformance</t>
        </is>
      </c>
      <c r="C107" s="61" t="inlineStr">
        <is>
          <t>Labor</t>
        </is>
      </c>
      <c r="D107" s="61">
        <f>A107&amp;B107&amp;C107</f>
        <v/>
      </c>
      <c r="E107" s="227" t="n">
        <v>0.5</v>
      </c>
    </row>
    <row r="108">
      <c r="A108" s="61" t="inlineStr">
        <is>
          <t>AM201</t>
        </is>
      </c>
      <c r="B108" s="61" t="inlineStr">
        <is>
          <t>Priority</t>
        </is>
      </c>
      <c r="C108" s="61" t="inlineStr">
        <is>
          <t>Labor</t>
        </is>
      </c>
      <c r="D108" s="61">
        <f>A108&amp;B108&amp;C108</f>
        <v/>
      </c>
      <c r="E108" s="227" t="n">
        <v>0</v>
      </c>
    </row>
    <row r="109">
      <c r="A109" s="61" t="inlineStr">
        <is>
          <t>AM201</t>
        </is>
      </c>
      <c r="B109" s="61" t="inlineStr">
        <is>
          <t>Major</t>
        </is>
      </c>
      <c r="C109" s="61" t="inlineStr">
        <is>
          <t>Labor</t>
        </is>
      </c>
      <c r="D109" s="61">
        <f>A109&amp;B109&amp;C109</f>
        <v/>
      </c>
      <c r="E109" s="227" t="n">
        <v>0.1</v>
      </c>
    </row>
    <row r="110">
      <c r="A110" s="61" t="inlineStr">
        <is>
          <t>AM201</t>
        </is>
      </c>
      <c r="B110" s="61" t="inlineStr">
        <is>
          <t>Minor</t>
        </is>
      </c>
      <c r="C110" s="61" t="inlineStr">
        <is>
          <t>Labor</t>
        </is>
      </c>
      <c r="D110" s="61">
        <f>A110&amp;B110&amp;C110</f>
        <v/>
      </c>
      <c r="E110" s="227" t="n">
        <v>0.3</v>
      </c>
    </row>
    <row r="111">
      <c r="A111" s="61" t="inlineStr">
        <is>
          <t>AM201</t>
        </is>
      </c>
      <c r="B111" s="61" t="inlineStr">
        <is>
          <t>N/A</t>
        </is>
      </c>
      <c r="C111" s="61" t="inlineStr">
        <is>
          <t>Labor</t>
        </is>
      </c>
      <c r="D111" s="61">
        <f>A111&amp;B111&amp;C111</f>
        <v/>
      </c>
      <c r="E111" s="227" t="n">
        <v>0.5</v>
      </c>
    </row>
    <row r="112">
      <c r="A112" s="61" t="inlineStr">
        <is>
          <t>AM202</t>
        </is>
      </c>
      <c r="B112" s="61" t="inlineStr">
        <is>
          <t>Conformance</t>
        </is>
      </c>
      <c r="C112" s="61" t="inlineStr">
        <is>
          <t>Labor</t>
        </is>
      </c>
      <c r="D112" s="61">
        <f>A112&amp;B112&amp;C112</f>
        <v/>
      </c>
      <c r="E112" s="227" t="n">
        <v>0.5</v>
      </c>
    </row>
    <row r="113">
      <c r="A113" s="61" t="inlineStr">
        <is>
          <t>AM202</t>
        </is>
      </c>
      <c r="B113" s="61" t="inlineStr">
        <is>
          <t>Priority</t>
        </is>
      </c>
      <c r="C113" s="61" t="inlineStr">
        <is>
          <t>Labor</t>
        </is>
      </c>
      <c r="D113" s="61">
        <f>A113&amp;B113&amp;C113</f>
        <v/>
      </c>
      <c r="E113" s="227" t="n">
        <v>0</v>
      </c>
    </row>
    <row r="114">
      <c r="A114" s="61" t="inlineStr">
        <is>
          <t>AM202</t>
        </is>
      </c>
      <c r="B114" s="61" t="inlineStr">
        <is>
          <t>Major</t>
        </is>
      </c>
      <c r="C114" s="61" t="inlineStr">
        <is>
          <t>Labor</t>
        </is>
      </c>
      <c r="D114" s="61">
        <f>A114&amp;B114&amp;C114</f>
        <v/>
      </c>
      <c r="E114" s="227" t="n">
        <v>0.1</v>
      </c>
    </row>
    <row r="115">
      <c r="A115" s="61" t="inlineStr">
        <is>
          <t>AM202</t>
        </is>
      </c>
      <c r="B115" s="61" t="inlineStr">
        <is>
          <t>Minor</t>
        </is>
      </c>
      <c r="C115" s="61" t="inlineStr">
        <is>
          <t>Labor</t>
        </is>
      </c>
      <c r="D115" s="61">
        <f>A115&amp;B115&amp;C115</f>
        <v/>
      </c>
      <c r="E115" s="227" t="n">
        <v>0.3</v>
      </c>
    </row>
    <row r="116">
      <c r="A116" s="61" t="inlineStr">
        <is>
          <t>AM202</t>
        </is>
      </c>
      <c r="B116" s="61" t="inlineStr">
        <is>
          <t>N/A</t>
        </is>
      </c>
      <c r="C116" s="61" t="inlineStr">
        <is>
          <t>Labor</t>
        </is>
      </c>
      <c r="D116" s="61">
        <f>A116&amp;B116&amp;C116</f>
        <v/>
      </c>
      <c r="E116" s="227" t="n">
        <v>0.5</v>
      </c>
    </row>
    <row r="117">
      <c r="A117" s="61" t="inlineStr">
        <is>
          <t>AM203</t>
        </is>
      </c>
      <c r="B117" s="61" t="inlineStr">
        <is>
          <t>Conformance</t>
        </is>
      </c>
      <c r="C117" s="61" t="inlineStr">
        <is>
          <t>Labor</t>
        </is>
      </c>
      <c r="D117" s="61">
        <f>A117&amp;B117&amp;C117</f>
        <v/>
      </c>
      <c r="E117" s="227" t="n">
        <v>0.5</v>
      </c>
    </row>
    <row r="118">
      <c r="A118" s="61" t="inlineStr">
        <is>
          <t>AM203</t>
        </is>
      </c>
      <c r="B118" s="61" t="inlineStr">
        <is>
          <t>Priority</t>
        </is>
      </c>
      <c r="C118" s="61" t="inlineStr">
        <is>
          <t>Labor</t>
        </is>
      </c>
      <c r="D118" s="61">
        <f>A118&amp;B118&amp;C118</f>
        <v/>
      </c>
      <c r="E118" s="227" t="n">
        <v>0</v>
      </c>
    </row>
    <row r="119">
      <c r="A119" s="61" t="inlineStr">
        <is>
          <t>AM203</t>
        </is>
      </c>
      <c r="B119" s="61" t="inlineStr">
        <is>
          <t>Major</t>
        </is>
      </c>
      <c r="C119" s="61" t="inlineStr">
        <is>
          <t>Labor</t>
        </is>
      </c>
      <c r="D119" s="61">
        <f>A119&amp;B119&amp;C119</f>
        <v/>
      </c>
      <c r="E119" s="227" t="n">
        <v>0.1</v>
      </c>
    </row>
    <row r="120">
      <c r="A120" s="61" t="inlineStr">
        <is>
          <t>AM203</t>
        </is>
      </c>
      <c r="B120" s="61" t="inlineStr">
        <is>
          <t>Minor</t>
        </is>
      </c>
      <c r="C120" s="61" t="inlineStr">
        <is>
          <t>Labor</t>
        </is>
      </c>
      <c r="D120" s="61">
        <f>A120&amp;B120&amp;C120</f>
        <v/>
      </c>
      <c r="E120" s="227" t="n">
        <v>0.3</v>
      </c>
    </row>
    <row r="121">
      <c r="A121" s="61" t="inlineStr">
        <is>
          <t>AM203</t>
        </is>
      </c>
      <c r="B121" s="61" t="inlineStr">
        <is>
          <t>N/A</t>
        </is>
      </c>
      <c r="C121" s="61" t="inlineStr">
        <is>
          <t>Labor</t>
        </is>
      </c>
      <c r="D121" s="61">
        <f>A121&amp;B121&amp;C121</f>
        <v/>
      </c>
      <c r="E121" s="227" t="n">
        <v>0.5</v>
      </c>
    </row>
    <row r="122">
      <c r="A122" s="61" t="inlineStr">
        <is>
          <t>AM301</t>
        </is>
      </c>
      <c r="B122" s="61" t="inlineStr">
        <is>
          <t>Conformance</t>
        </is>
      </c>
      <c r="C122" s="61" t="inlineStr">
        <is>
          <t>Labor</t>
        </is>
      </c>
      <c r="D122" s="61">
        <f>A122&amp;B122&amp;C122</f>
        <v/>
      </c>
      <c r="E122" s="227" t="n">
        <v>0.5</v>
      </c>
    </row>
    <row r="123">
      <c r="A123" s="61" t="inlineStr">
        <is>
          <t>AM301</t>
        </is>
      </c>
      <c r="B123" s="61" t="inlineStr">
        <is>
          <t>Priority</t>
        </is>
      </c>
      <c r="C123" s="61" t="inlineStr">
        <is>
          <t>Labor</t>
        </is>
      </c>
      <c r="D123" s="61">
        <f>A123&amp;B123&amp;C123</f>
        <v/>
      </c>
      <c r="E123" s="227" t="n">
        <v>0</v>
      </c>
    </row>
    <row r="124">
      <c r="A124" s="61" t="inlineStr">
        <is>
          <t>AM301</t>
        </is>
      </c>
      <c r="B124" s="61" t="inlineStr">
        <is>
          <t>Major</t>
        </is>
      </c>
      <c r="C124" s="61" t="inlineStr">
        <is>
          <t>Labor</t>
        </is>
      </c>
      <c r="D124" s="61">
        <f>A124&amp;B124&amp;C124</f>
        <v/>
      </c>
      <c r="E124" s="227" t="n">
        <v>0.1</v>
      </c>
    </row>
    <row r="125">
      <c r="A125" s="61" t="inlineStr">
        <is>
          <t>AM301</t>
        </is>
      </c>
      <c r="B125" s="61" t="inlineStr">
        <is>
          <t>Minor</t>
        </is>
      </c>
      <c r="C125" s="61" t="inlineStr">
        <is>
          <t>Labor</t>
        </is>
      </c>
      <c r="D125" s="61">
        <f>A125&amp;B125&amp;C125</f>
        <v/>
      </c>
      <c r="E125" s="227" t="n">
        <v>0.3</v>
      </c>
    </row>
    <row r="126">
      <c r="A126" s="61" t="inlineStr">
        <is>
          <t>AM301</t>
        </is>
      </c>
      <c r="B126" s="61" t="inlineStr">
        <is>
          <t>N/A</t>
        </is>
      </c>
      <c r="C126" s="61" t="inlineStr">
        <is>
          <t>Labor</t>
        </is>
      </c>
      <c r="D126" s="61">
        <f>A126&amp;B126&amp;C126</f>
        <v/>
      </c>
      <c r="E126" s="227" t="n">
        <v>0.5</v>
      </c>
    </row>
    <row r="127">
      <c r="A127" s="61" t="inlineStr">
        <is>
          <t>AM302</t>
        </is>
      </c>
      <c r="B127" s="61" t="inlineStr">
        <is>
          <t>Conformance</t>
        </is>
      </c>
      <c r="C127" s="61" t="inlineStr">
        <is>
          <t>Labor</t>
        </is>
      </c>
      <c r="D127" s="61">
        <f>A127&amp;B127&amp;C127</f>
        <v/>
      </c>
      <c r="E127" s="227" t="n">
        <v>0.5</v>
      </c>
    </row>
    <row r="128">
      <c r="A128" s="61" t="inlineStr">
        <is>
          <t>AM302</t>
        </is>
      </c>
      <c r="B128" s="61" t="inlineStr">
        <is>
          <t>Priority</t>
        </is>
      </c>
      <c r="C128" s="61" t="inlineStr">
        <is>
          <t>Labor</t>
        </is>
      </c>
      <c r="D128" s="61">
        <f>A128&amp;B128&amp;C128</f>
        <v/>
      </c>
      <c r="E128" s="227" t="n">
        <v>0</v>
      </c>
    </row>
    <row r="129">
      <c r="A129" s="61" t="inlineStr">
        <is>
          <t>AM302</t>
        </is>
      </c>
      <c r="B129" s="61" t="inlineStr">
        <is>
          <t>Major</t>
        </is>
      </c>
      <c r="C129" s="61" t="inlineStr">
        <is>
          <t>Labor</t>
        </is>
      </c>
      <c r="D129" s="61">
        <f>A129&amp;B129&amp;C129</f>
        <v/>
      </c>
      <c r="E129" s="227" t="n">
        <v>0.1</v>
      </c>
    </row>
    <row r="130">
      <c r="A130" s="61" t="inlineStr">
        <is>
          <t>AM302</t>
        </is>
      </c>
      <c r="B130" s="61" t="inlineStr">
        <is>
          <t>Minor</t>
        </is>
      </c>
      <c r="C130" s="61" t="inlineStr">
        <is>
          <t>Labor</t>
        </is>
      </c>
      <c r="D130" s="61">
        <f>A130&amp;B130&amp;C130</f>
        <v/>
      </c>
      <c r="E130" s="227" t="n">
        <v>0.3</v>
      </c>
    </row>
    <row r="131">
      <c r="A131" s="61" t="inlineStr">
        <is>
          <t>AM302</t>
        </is>
      </c>
      <c r="B131" s="61" t="inlineStr">
        <is>
          <t>N/A</t>
        </is>
      </c>
      <c r="C131" s="61" t="inlineStr">
        <is>
          <t>Labor</t>
        </is>
      </c>
      <c r="D131" s="61">
        <f>A131&amp;B131&amp;C131</f>
        <v/>
      </c>
      <c r="E131" s="227" t="n">
        <v>0.5</v>
      </c>
    </row>
    <row r="132">
      <c r="A132" s="61" t="inlineStr">
        <is>
          <t>AM401</t>
        </is>
      </c>
      <c r="B132" s="61" t="inlineStr">
        <is>
          <t>Conformance</t>
        </is>
      </c>
      <c r="C132" s="61" t="inlineStr">
        <is>
          <t>Labor</t>
        </is>
      </c>
      <c r="D132" s="61">
        <f>A132&amp;B132&amp;C132</f>
        <v/>
      </c>
      <c r="E132" s="227" t="n">
        <v>0.5</v>
      </c>
    </row>
    <row r="133">
      <c r="A133" s="61" t="inlineStr">
        <is>
          <t>AM401</t>
        </is>
      </c>
      <c r="B133" s="61" t="inlineStr">
        <is>
          <t>Priority</t>
        </is>
      </c>
      <c r="C133" s="61" t="inlineStr">
        <is>
          <t>Labor</t>
        </is>
      </c>
      <c r="D133" s="61">
        <f>A133&amp;B133&amp;C133</f>
        <v/>
      </c>
      <c r="E133" s="227" t="n">
        <v>0</v>
      </c>
    </row>
    <row r="134">
      <c r="A134" s="61" t="inlineStr">
        <is>
          <t>AM401</t>
        </is>
      </c>
      <c r="B134" s="61" t="inlineStr">
        <is>
          <t>Major</t>
        </is>
      </c>
      <c r="C134" s="61" t="inlineStr">
        <is>
          <t>Labor</t>
        </is>
      </c>
      <c r="D134" s="61">
        <f>A134&amp;B134&amp;C134</f>
        <v/>
      </c>
      <c r="E134" s="227" t="n">
        <v>0.1</v>
      </c>
    </row>
    <row r="135">
      <c r="A135" s="61" t="inlineStr">
        <is>
          <t>AM401</t>
        </is>
      </c>
      <c r="B135" s="61" t="inlineStr">
        <is>
          <t>Minor</t>
        </is>
      </c>
      <c r="C135" s="61" t="inlineStr">
        <is>
          <t>Labor</t>
        </is>
      </c>
      <c r="D135" s="61">
        <f>A135&amp;B135&amp;C135</f>
        <v/>
      </c>
      <c r="E135" s="227" t="n">
        <v>0.3</v>
      </c>
    </row>
    <row r="136">
      <c r="A136" s="61" t="inlineStr">
        <is>
          <t>AM401</t>
        </is>
      </c>
      <c r="B136" s="61" t="inlineStr">
        <is>
          <t>N/A</t>
        </is>
      </c>
      <c r="C136" s="61" t="inlineStr">
        <is>
          <t>Labor</t>
        </is>
      </c>
      <c r="D136" s="61">
        <f>A136&amp;B136&amp;C136</f>
        <v/>
      </c>
      <c r="E136" s="227" t="n">
        <v>0.5</v>
      </c>
    </row>
    <row r="137">
      <c r="A137" s="61" t="inlineStr">
        <is>
          <t>AM402</t>
        </is>
      </c>
      <c r="B137" s="61" t="inlineStr">
        <is>
          <t>Conformance</t>
        </is>
      </c>
      <c r="C137" s="61" t="inlineStr">
        <is>
          <t>Labor</t>
        </is>
      </c>
      <c r="D137" s="61">
        <f>A137&amp;B137&amp;C137</f>
        <v/>
      </c>
      <c r="E137" s="227" t="n">
        <v>0.5</v>
      </c>
    </row>
    <row r="138">
      <c r="A138" s="61" t="inlineStr">
        <is>
          <t>AM402</t>
        </is>
      </c>
      <c r="B138" s="61" t="inlineStr">
        <is>
          <t>Priority</t>
        </is>
      </c>
      <c r="C138" s="61" t="inlineStr">
        <is>
          <t>Labor</t>
        </is>
      </c>
      <c r="D138" s="61">
        <f>A138&amp;B138&amp;C138</f>
        <v/>
      </c>
      <c r="E138" s="227" t="n">
        <v>0</v>
      </c>
    </row>
    <row r="139">
      <c r="A139" s="61" t="inlineStr">
        <is>
          <t>AM402</t>
        </is>
      </c>
      <c r="B139" s="61" t="inlineStr">
        <is>
          <t>Major</t>
        </is>
      </c>
      <c r="C139" s="61" t="inlineStr">
        <is>
          <t>Labor</t>
        </is>
      </c>
      <c r="D139" s="61">
        <f>A139&amp;B139&amp;C139</f>
        <v/>
      </c>
      <c r="E139" s="227" t="n">
        <v>0.1</v>
      </c>
    </row>
    <row r="140">
      <c r="A140" s="61" t="inlineStr">
        <is>
          <t>AM402</t>
        </is>
      </c>
      <c r="B140" s="61" t="inlineStr">
        <is>
          <t>Minor</t>
        </is>
      </c>
      <c r="C140" s="61" t="inlineStr">
        <is>
          <t>Labor</t>
        </is>
      </c>
      <c r="D140" s="61">
        <f>A140&amp;B140&amp;C140</f>
        <v/>
      </c>
      <c r="E140" s="227" t="n">
        <v>0.3</v>
      </c>
    </row>
    <row r="141">
      <c r="A141" s="61" t="inlineStr">
        <is>
          <t>AM402</t>
        </is>
      </c>
      <c r="B141" s="61" t="inlineStr">
        <is>
          <t>N/A</t>
        </is>
      </c>
      <c r="C141" s="61" t="inlineStr">
        <is>
          <t>Labor</t>
        </is>
      </c>
      <c r="D141" s="61">
        <f>A141&amp;B141&amp;C141</f>
        <v/>
      </c>
      <c r="E141" s="227" t="n">
        <v>0.5</v>
      </c>
    </row>
    <row r="142">
      <c r="A142" s="61" t="inlineStr">
        <is>
          <t>AM403</t>
        </is>
      </c>
      <c r="B142" s="61" t="inlineStr">
        <is>
          <t>Conformance</t>
        </is>
      </c>
      <c r="C142" s="61" t="inlineStr">
        <is>
          <t>Labor</t>
        </is>
      </c>
      <c r="D142" s="61">
        <f>A142&amp;B142&amp;C142</f>
        <v/>
      </c>
      <c r="E142" s="227" t="n">
        <v>0.5</v>
      </c>
    </row>
    <row r="143">
      <c r="A143" s="61" t="inlineStr">
        <is>
          <t>AM403</t>
        </is>
      </c>
      <c r="B143" s="61" t="inlineStr">
        <is>
          <t>Priority</t>
        </is>
      </c>
      <c r="C143" s="61" t="inlineStr">
        <is>
          <t>Labor</t>
        </is>
      </c>
      <c r="D143" s="61">
        <f>A143&amp;B143&amp;C143</f>
        <v/>
      </c>
      <c r="E143" s="227" t="n">
        <v>0</v>
      </c>
    </row>
    <row r="144">
      <c r="A144" s="61" t="inlineStr">
        <is>
          <t>AM403</t>
        </is>
      </c>
      <c r="B144" s="61" t="inlineStr">
        <is>
          <t>Major</t>
        </is>
      </c>
      <c r="C144" s="61" t="inlineStr">
        <is>
          <t>Labor</t>
        </is>
      </c>
      <c r="D144" s="61">
        <f>A144&amp;B144&amp;C144</f>
        <v/>
      </c>
      <c r="E144" s="227" t="n">
        <v>0.1</v>
      </c>
    </row>
    <row r="145">
      <c r="A145" s="61" t="inlineStr">
        <is>
          <t>AM403</t>
        </is>
      </c>
      <c r="B145" s="61" t="inlineStr">
        <is>
          <t>Minor</t>
        </is>
      </c>
      <c r="C145" s="61" t="inlineStr">
        <is>
          <t>Labor</t>
        </is>
      </c>
      <c r="D145" s="61">
        <f>A145&amp;B145&amp;C145</f>
        <v/>
      </c>
      <c r="E145" s="227" t="n">
        <v>0.3</v>
      </c>
    </row>
    <row r="146">
      <c r="A146" s="61" t="inlineStr">
        <is>
          <t>AM403</t>
        </is>
      </c>
      <c r="B146" s="61" t="inlineStr">
        <is>
          <t>N/A</t>
        </is>
      </c>
      <c r="C146" s="61" t="inlineStr">
        <is>
          <t>Labor</t>
        </is>
      </c>
      <c r="D146" s="61">
        <f>A146&amp;B146&amp;C146</f>
        <v/>
      </c>
      <c r="E146" s="227" t="n">
        <v>0.5</v>
      </c>
    </row>
    <row r="147">
      <c r="A147" s="48" t="inlineStr">
        <is>
          <t>BH101</t>
        </is>
      </c>
      <c r="B147" s="48" t="inlineStr">
        <is>
          <t>Conformance</t>
        </is>
      </c>
      <c r="C147" s="48" t="inlineStr">
        <is>
          <t>EHS</t>
        </is>
      </c>
      <c r="D147" s="48">
        <f>A147&amp;B147&amp;C147</f>
        <v/>
      </c>
      <c r="E147" s="228" t="n">
        <v>3</v>
      </c>
    </row>
    <row r="148">
      <c r="A148" s="48" t="inlineStr">
        <is>
          <t>BH101</t>
        </is>
      </c>
      <c r="B148" s="48" t="inlineStr">
        <is>
          <t>Priority</t>
        </is>
      </c>
      <c r="C148" s="48" t="inlineStr">
        <is>
          <t>EHS</t>
        </is>
      </c>
      <c r="D148" s="48">
        <f>A148&amp;B148&amp;C148</f>
        <v/>
      </c>
      <c r="E148" s="228" t="n">
        <v>0</v>
      </c>
    </row>
    <row r="149">
      <c r="A149" s="48" t="inlineStr">
        <is>
          <t>BH101</t>
        </is>
      </c>
      <c r="B149" s="48" t="inlineStr">
        <is>
          <t>Major</t>
        </is>
      </c>
      <c r="C149" s="48" t="inlineStr">
        <is>
          <t>EHS</t>
        </is>
      </c>
      <c r="D149" s="48">
        <f>A149&amp;B149&amp;C149</f>
        <v/>
      </c>
      <c r="E149" s="228" t="n">
        <v>1</v>
      </c>
    </row>
    <row r="150">
      <c r="A150" s="48" t="inlineStr">
        <is>
          <t>BH101</t>
        </is>
      </c>
      <c r="B150" s="48" t="inlineStr">
        <is>
          <t>Minor</t>
        </is>
      </c>
      <c r="C150" s="48" t="inlineStr">
        <is>
          <t>EHS</t>
        </is>
      </c>
      <c r="D150" s="48">
        <f>A150&amp;B150&amp;C150</f>
        <v/>
      </c>
      <c r="E150" s="228" t="n">
        <v>2</v>
      </c>
    </row>
    <row r="151">
      <c r="A151" s="48" t="inlineStr">
        <is>
          <t>BH101</t>
        </is>
      </c>
      <c r="B151" s="48" t="inlineStr">
        <is>
          <t>N/A</t>
        </is>
      </c>
      <c r="C151" s="48" t="inlineStr">
        <is>
          <t>EHS</t>
        </is>
      </c>
      <c r="D151" s="48">
        <f>A151&amp;B151&amp;C151</f>
        <v/>
      </c>
      <c r="E151" s="228" t="n">
        <v>3</v>
      </c>
    </row>
    <row r="152">
      <c r="A152" s="48" t="inlineStr">
        <is>
          <t>BH102</t>
        </is>
      </c>
      <c r="B152" s="48" t="inlineStr">
        <is>
          <t>Conformance</t>
        </is>
      </c>
      <c r="C152" s="48" t="inlineStr">
        <is>
          <t>EHS</t>
        </is>
      </c>
      <c r="D152" s="48">
        <f>A152&amp;B152&amp;C152</f>
        <v/>
      </c>
      <c r="E152" s="228" t="n">
        <v>5</v>
      </c>
    </row>
    <row r="153">
      <c r="A153" s="48" t="inlineStr">
        <is>
          <t>BH102</t>
        </is>
      </c>
      <c r="B153" s="48" t="inlineStr">
        <is>
          <t>Priority</t>
        </is>
      </c>
      <c r="C153" s="48" t="inlineStr">
        <is>
          <t>EHS</t>
        </is>
      </c>
      <c r="D153" s="48">
        <f>A153&amp;B153&amp;C153</f>
        <v/>
      </c>
      <c r="E153" s="228" t="n">
        <v>0</v>
      </c>
    </row>
    <row r="154">
      <c r="A154" s="48" t="inlineStr">
        <is>
          <t>BH102</t>
        </is>
      </c>
      <c r="B154" s="48" t="inlineStr">
        <is>
          <t>Major</t>
        </is>
      </c>
      <c r="C154" s="48" t="inlineStr">
        <is>
          <t>EHS</t>
        </is>
      </c>
      <c r="D154" s="48">
        <f>A154&amp;B154&amp;C154</f>
        <v/>
      </c>
      <c r="E154" s="228" t="n">
        <v>1</v>
      </c>
    </row>
    <row r="155">
      <c r="A155" s="48" t="inlineStr">
        <is>
          <t>BH102</t>
        </is>
      </c>
      <c r="B155" s="48" t="inlineStr">
        <is>
          <t>Minor</t>
        </is>
      </c>
      <c r="C155" s="48" t="inlineStr">
        <is>
          <t>EHS</t>
        </is>
      </c>
      <c r="D155" s="48">
        <f>A155&amp;B155&amp;C155</f>
        <v/>
      </c>
      <c r="E155" s="228" t="n">
        <v>3</v>
      </c>
    </row>
    <row r="156">
      <c r="A156" s="48" t="inlineStr">
        <is>
          <t>BH102</t>
        </is>
      </c>
      <c r="B156" s="48" t="inlineStr">
        <is>
          <t>N/A</t>
        </is>
      </c>
      <c r="C156" s="48" t="inlineStr">
        <is>
          <t>EHS</t>
        </is>
      </c>
      <c r="D156" s="48">
        <f>A156&amp;B156&amp;C156</f>
        <v/>
      </c>
      <c r="E156" s="228" t="n">
        <v>5</v>
      </c>
    </row>
    <row r="157">
      <c r="A157" s="48" t="inlineStr">
        <is>
          <t>BH103</t>
        </is>
      </c>
      <c r="B157" s="48" t="inlineStr">
        <is>
          <t>Conformance</t>
        </is>
      </c>
      <c r="C157" s="48" t="inlineStr">
        <is>
          <t>EHS</t>
        </is>
      </c>
      <c r="D157" s="48">
        <f>A157&amp;B157&amp;C157</f>
        <v/>
      </c>
      <c r="E157" s="228" t="n">
        <v>2</v>
      </c>
    </row>
    <row r="158">
      <c r="A158" s="48" t="inlineStr">
        <is>
          <t>BH103</t>
        </is>
      </c>
      <c r="B158" s="48" t="inlineStr">
        <is>
          <t>Priority</t>
        </is>
      </c>
      <c r="C158" s="48" t="inlineStr">
        <is>
          <t>EHS</t>
        </is>
      </c>
      <c r="D158" s="48">
        <f>A158&amp;B158&amp;C158</f>
        <v/>
      </c>
      <c r="E158" s="228" t="n">
        <v>0</v>
      </c>
    </row>
    <row r="159">
      <c r="A159" s="48" t="inlineStr">
        <is>
          <t>BH103</t>
        </is>
      </c>
      <c r="B159" s="48" t="inlineStr">
        <is>
          <t>Major</t>
        </is>
      </c>
      <c r="C159" s="48" t="inlineStr">
        <is>
          <t>EHS</t>
        </is>
      </c>
      <c r="D159" s="48">
        <f>A159&amp;B159&amp;C159</f>
        <v/>
      </c>
      <c r="E159" s="228" t="n">
        <v>0.5</v>
      </c>
    </row>
    <row r="160">
      <c r="A160" s="48" t="inlineStr">
        <is>
          <t>BH103</t>
        </is>
      </c>
      <c r="B160" s="48" t="inlineStr">
        <is>
          <t>Minor</t>
        </is>
      </c>
      <c r="C160" s="48" t="inlineStr">
        <is>
          <t>EHS</t>
        </is>
      </c>
      <c r="D160" s="48">
        <f>A160&amp;B160&amp;C160</f>
        <v/>
      </c>
      <c r="E160" s="228" t="n">
        <v>1</v>
      </c>
    </row>
    <row r="161">
      <c r="A161" s="48" t="inlineStr">
        <is>
          <t>BH103</t>
        </is>
      </c>
      <c r="B161" s="48" t="inlineStr">
        <is>
          <t>N/A</t>
        </is>
      </c>
      <c r="C161" s="48" t="inlineStr">
        <is>
          <t>EHS</t>
        </is>
      </c>
      <c r="D161" s="48">
        <f>A161&amp;B161&amp;C161</f>
        <v/>
      </c>
      <c r="E161" s="228" t="n">
        <v>2</v>
      </c>
    </row>
    <row r="162">
      <c r="A162" s="48" t="inlineStr">
        <is>
          <t>BH201</t>
        </is>
      </c>
      <c r="B162" s="48" t="inlineStr">
        <is>
          <t>Conformance</t>
        </is>
      </c>
      <c r="C162" s="48" t="inlineStr">
        <is>
          <t>EHS</t>
        </is>
      </c>
      <c r="D162" s="48">
        <f>A162&amp;B162&amp;C162</f>
        <v/>
      </c>
      <c r="E162" s="228" t="n">
        <v>6</v>
      </c>
    </row>
    <row r="163">
      <c r="A163" s="48" t="inlineStr">
        <is>
          <t>BH201</t>
        </is>
      </c>
      <c r="B163" s="48" t="inlineStr">
        <is>
          <t>Priority</t>
        </is>
      </c>
      <c r="C163" s="48" t="inlineStr">
        <is>
          <t>EHS</t>
        </is>
      </c>
      <c r="D163" s="48">
        <f>A163&amp;B163&amp;C163</f>
        <v/>
      </c>
      <c r="E163" s="228" t="n">
        <v>0</v>
      </c>
    </row>
    <row r="164">
      <c r="A164" s="48" t="inlineStr">
        <is>
          <t>BH201</t>
        </is>
      </c>
      <c r="B164" s="48" t="inlineStr">
        <is>
          <t>Major</t>
        </is>
      </c>
      <c r="C164" s="48" t="inlineStr">
        <is>
          <t>EHS</t>
        </is>
      </c>
      <c r="D164" s="48">
        <f>A164&amp;B164&amp;C164</f>
        <v/>
      </c>
      <c r="E164" s="228" t="n">
        <v>2</v>
      </c>
    </row>
    <row r="165">
      <c r="A165" s="48" t="inlineStr">
        <is>
          <t>BH201</t>
        </is>
      </c>
      <c r="B165" s="48" t="inlineStr">
        <is>
          <t>Minor</t>
        </is>
      </c>
      <c r="C165" s="48" t="inlineStr">
        <is>
          <t>EHS</t>
        </is>
      </c>
      <c r="D165" s="48">
        <f>A165&amp;B165&amp;C165</f>
        <v/>
      </c>
      <c r="E165" s="228" t="n">
        <v>4</v>
      </c>
    </row>
    <row r="166">
      <c r="A166" s="48" t="inlineStr">
        <is>
          <t>BH201</t>
        </is>
      </c>
      <c r="B166" s="48" t="inlineStr">
        <is>
          <t>N/A</t>
        </is>
      </c>
      <c r="C166" s="48" t="inlineStr">
        <is>
          <t>EHS</t>
        </is>
      </c>
      <c r="D166" s="48">
        <f>A166&amp;B166&amp;C166</f>
        <v/>
      </c>
      <c r="E166" s="228" t="n">
        <v>6</v>
      </c>
    </row>
    <row r="167">
      <c r="A167" s="48" t="inlineStr">
        <is>
          <t>BH202</t>
        </is>
      </c>
      <c r="B167" s="48" t="inlineStr">
        <is>
          <t>Conformance</t>
        </is>
      </c>
      <c r="C167" s="48" t="inlineStr">
        <is>
          <t>EHS</t>
        </is>
      </c>
      <c r="D167" s="48">
        <f>A167&amp;B167&amp;C167</f>
        <v/>
      </c>
      <c r="E167" s="228" t="n">
        <v>3</v>
      </c>
    </row>
    <row r="168">
      <c r="A168" s="48" t="inlineStr">
        <is>
          <t>BH202</t>
        </is>
      </c>
      <c r="B168" s="48" t="inlineStr">
        <is>
          <t>Priority</t>
        </is>
      </c>
      <c r="C168" s="48" t="inlineStr">
        <is>
          <t>EHS</t>
        </is>
      </c>
      <c r="D168" s="48">
        <f>A168&amp;B168&amp;C168</f>
        <v/>
      </c>
      <c r="E168" s="228" t="n">
        <v>0</v>
      </c>
    </row>
    <row r="169">
      <c r="A169" s="48" t="inlineStr">
        <is>
          <t>BH202</t>
        </is>
      </c>
      <c r="B169" s="48" t="inlineStr">
        <is>
          <t>Major</t>
        </is>
      </c>
      <c r="C169" s="48" t="inlineStr">
        <is>
          <t>EHS</t>
        </is>
      </c>
      <c r="D169" s="48">
        <f>A169&amp;B169&amp;C169</f>
        <v/>
      </c>
      <c r="E169" s="228" t="n">
        <v>1</v>
      </c>
    </row>
    <row r="170">
      <c r="A170" s="48" t="inlineStr">
        <is>
          <t>BH202</t>
        </is>
      </c>
      <c r="B170" s="48" t="inlineStr">
        <is>
          <t>Minor</t>
        </is>
      </c>
      <c r="C170" s="48" t="inlineStr">
        <is>
          <t>EHS</t>
        </is>
      </c>
      <c r="D170" s="48">
        <f>A170&amp;B170&amp;C170</f>
        <v/>
      </c>
      <c r="E170" s="228" t="n">
        <v>2</v>
      </c>
    </row>
    <row r="171">
      <c r="A171" s="48" t="inlineStr">
        <is>
          <t>BH202</t>
        </is>
      </c>
      <c r="B171" s="48" t="inlineStr">
        <is>
          <t>N/A</t>
        </is>
      </c>
      <c r="C171" s="48" t="inlineStr">
        <is>
          <t>EHS</t>
        </is>
      </c>
      <c r="D171" s="48">
        <f>A171&amp;B171&amp;C171</f>
        <v/>
      </c>
      <c r="E171" s="228" t="n">
        <v>3</v>
      </c>
    </row>
    <row r="172">
      <c r="A172" s="48" t="inlineStr">
        <is>
          <t>BH203</t>
        </is>
      </c>
      <c r="B172" s="48" t="inlineStr">
        <is>
          <t>Conformance</t>
        </is>
      </c>
      <c r="C172" s="48" t="inlineStr">
        <is>
          <t>EHS</t>
        </is>
      </c>
      <c r="D172" s="48">
        <f>A172&amp;B172&amp;C172</f>
        <v/>
      </c>
      <c r="E172" s="228" t="n">
        <v>3</v>
      </c>
    </row>
    <row r="173">
      <c r="A173" s="48" t="inlineStr">
        <is>
          <t>BH203</t>
        </is>
      </c>
      <c r="B173" s="48" t="inlineStr">
        <is>
          <t>Priority</t>
        </is>
      </c>
      <c r="C173" s="48" t="inlineStr">
        <is>
          <t>EHS</t>
        </is>
      </c>
      <c r="D173" s="48">
        <f>A173&amp;B173&amp;C173</f>
        <v/>
      </c>
      <c r="E173" s="228" t="n">
        <v>0</v>
      </c>
    </row>
    <row r="174">
      <c r="A174" s="48" t="inlineStr">
        <is>
          <t>BH203</t>
        </is>
      </c>
      <c r="B174" s="48" t="inlineStr">
        <is>
          <t>Major</t>
        </is>
      </c>
      <c r="C174" s="48" t="inlineStr">
        <is>
          <t>EHS</t>
        </is>
      </c>
      <c r="D174" s="48">
        <f>A174&amp;B174&amp;C174</f>
        <v/>
      </c>
      <c r="E174" s="228" t="n">
        <v>1</v>
      </c>
    </row>
    <row r="175">
      <c r="A175" s="48" t="inlineStr">
        <is>
          <t>BH203</t>
        </is>
      </c>
      <c r="B175" s="48" t="inlineStr">
        <is>
          <t>Minor</t>
        </is>
      </c>
      <c r="C175" s="48" t="inlineStr">
        <is>
          <t>EHS</t>
        </is>
      </c>
      <c r="D175" s="48">
        <f>A175&amp;B175&amp;C175</f>
        <v/>
      </c>
      <c r="E175" s="228" t="n">
        <v>2</v>
      </c>
    </row>
    <row r="176">
      <c r="A176" s="48" t="inlineStr">
        <is>
          <t>BH203</t>
        </is>
      </c>
      <c r="B176" s="48" t="inlineStr">
        <is>
          <t>N/A</t>
        </is>
      </c>
      <c r="C176" s="48" t="inlineStr">
        <is>
          <t>EHS</t>
        </is>
      </c>
      <c r="D176" s="48">
        <f>A176&amp;B176&amp;C176</f>
        <v/>
      </c>
      <c r="E176" s="228" t="n">
        <v>3</v>
      </c>
    </row>
    <row r="177">
      <c r="A177" s="48" t="inlineStr">
        <is>
          <t>BH204</t>
        </is>
      </c>
      <c r="B177" s="48" t="inlineStr">
        <is>
          <t>Conformance</t>
        </is>
      </c>
      <c r="C177" s="48" t="inlineStr">
        <is>
          <t>EHS</t>
        </is>
      </c>
      <c r="D177" s="48">
        <f>A177&amp;B177&amp;C177</f>
        <v/>
      </c>
      <c r="E177" s="228" t="n">
        <v>2</v>
      </c>
    </row>
    <row r="178">
      <c r="A178" s="48" t="inlineStr">
        <is>
          <t>BH204</t>
        </is>
      </c>
      <c r="B178" s="48" t="inlineStr">
        <is>
          <t>Priority</t>
        </is>
      </c>
      <c r="C178" s="48" t="inlineStr">
        <is>
          <t>EHS</t>
        </is>
      </c>
      <c r="D178" s="48">
        <f>A178&amp;B178&amp;C178</f>
        <v/>
      </c>
      <c r="E178" s="228" t="n">
        <v>0</v>
      </c>
    </row>
    <row r="179">
      <c r="A179" s="48" t="inlineStr">
        <is>
          <t>BH204</t>
        </is>
      </c>
      <c r="B179" s="48" t="inlineStr">
        <is>
          <t>Major</t>
        </is>
      </c>
      <c r="C179" s="48" t="inlineStr">
        <is>
          <t>EHS</t>
        </is>
      </c>
      <c r="D179" s="48">
        <f>A179&amp;B179&amp;C179</f>
        <v/>
      </c>
      <c r="E179" s="228" t="n">
        <v>0.5</v>
      </c>
    </row>
    <row r="180">
      <c r="A180" s="48" t="inlineStr">
        <is>
          <t>BH204</t>
        </is>
      </c>
      <c r="B180" s="48" t="inlineStr">
        <is>
          <t>Minor</t>
        </is>
      </c>
      <c r="C180" s="48" t="inlineStr">
        <is>
          <t>EHS</t>
        </is>
      </c>
      <c r="D180" s="48">
        <f>A180&amp;B180&amp;C180</f>
        <v/>
      </c>
      <c r="E180" s="228" t="n">
        <v>1</v>
      </c>
    </row>
    <row r="181">
      <c r="A181" s="48" t="inlineStr">
        <is>
          <t>BH204</t>
        </is>
      </c>
      <c r="B181" s="48" t="inlineStr">
        <is>
          <t>N/A</t>
        </is>
      </c>
      <c r="C181" s="48" t="inlineStr">
        <is>
          <t>EHS</t>
        </is>
      </c>
      <c r="D181" s="48">
        <f>A181&amp;B181&amp;C181</f>
        <v/>
      </c>
      <c r="E181" s="228" t="n">
        <v>2</v>
      </c>
    </row>
    <row r="182">
      <c r="A182" s="48" t="inlineStr">
        <is>
          <t>BH301</t>
        </is>
      </c>
      <c r="B182" s="48" t="inlineStr">
        <is>
          <t>Conformance</t>
        </is>
      </c>
      <c r="C182" s="48" t="inlineStr">
        <is>
          <t>EHS</t>
        </is>
      </c>
      <c r="D182" s="48">
        <f>A182&amp;B182&amp;C182</f>
        <v/>
      </c>
      <c r="E182" s="228" t="n">
        <v>2</v>
      </c>
    </row>
    <row r="183">
      <c r="A183" s="48" t="inlineStr">
        <is>
          <t>BH301</t>
        </is>
      </c>
      <c r="B183" s="48" t="inlineStr">
        <is>
          <t>Priority</t>
        </is>
      </c>
      <c r="C183" s="48" t="inlineStr">
        <is>
          <t>EHS</t>
        </is>
      </c>
      <c r="D183" s="48">
        <f>A183&amp;B183&amp;C183</f>
        <v/>
      </c>
      <c r="E183" s="228" t="n">
        <v>0</v>
      </c>
    </row>
    <row r="184">
      <c r="A184" s="48" t="inlineStr">
        <is>
          <t>BH301</t>
        </is>
      </c>
      <c r="B184" s="48" t="inlineStr">
        <is>
          <t>Major</t>
        </is>
      </c>
      <c r="C184" s="48" t="inlineStr">
        <is>
          <t>EHS</t>
        </is>
      </c>
      <c r="D184" s="48">
        <f>A184&amp;B184&amp;C184</f>
        <v/>
      </c>
      <c r="E184" s="228" t="n">
        <v>0.5</v>
      </c>
    </row>
    <row r="185">
      <c r="A185" s="48" t="inlineStr">
        <is>
          <t>BH301</t>
        </is>
      </c>
      <c r="B185" s="48" t="inlineStr">
        <is>
          <t>Minor</t>
        </is>
      </c>
      <c r="C185" s="48" t="inlineStr">
        <is>
          <t>EHS</t>
        </is>
      </c>
      <c r="D185" s="48">
        <f>A185&amp;B185&amp;C185</f>
        <v/>
      </c>
      <c r="E185" s="228" t="n">
        <v>1</v>
      </c>
    </row>
    <row r="186">
      <c r="A186" s="48" t="inlineStr">
        <is>
          <t>BH301</t>
        </is>
      </c>
      <c r="B186" s="48" t="inlineStr">
        <is>
          <t>N/A</t>
        </is>
      </c>
      <c r="C186" s="48" t="inlineStr">
        <is>
          <t>EHS</t>
        </is>
      </c>
      <c r="D186" s="48">
        <f>A186&amp;B186&amp;C186</f>
        <v/>
      </c>
      <c r="E186" s="228" t="n">
        <v>2</v>
      </c>
    </row>
    <row r="187">
      <c r="A187" s="48" t="inlineStr">
        <is>
          <t>BH302</t>
        </is>
      </c>
      <c r="B187" s="48" t="inlineStr">
        <is>
          <t>Conformance</t>
        </is>
      </c>
      <c r="C187" s="48" t="inlineStr">
        <is>
          <t>EHS</t>
        </is>
      </c>
      <c r="D187" s="48">
        <f>A187&amp;B187&amp;C187</f>
        <v/>
      </c>
      <c r="E187" s="228" t="n">
        <v>2</v>
      </c>
    </row>
    <row r="188">
      <c r="A188" s="48" t="inlineStr">
        <is>
          <t>BH302</t>
        </is>
      </c>
      <c r="B188" s="48" t="inlineStr">
        <is>
          <t>Priority</t>
        </is>
      </c>
      <c r="C188" s="48" t="inlineStr">
        <is>
          <t>EHS</t>
        </is>
      </c>
      <c r="D188" s="48">
        <f>A188&amp;B188&amp;C188</f>
        <v/>
      </c>
      <c r="E188" s="228" t="n">
        <v>0</v>
      </c>
    </row>
    <row r="189">
      <c r="A189" s="48" t="inlineStr">
        <is>
          <t>BH302</t>
        </is>
      </c>
      <c r="B189" s="48" t="inlineStr">
        <is>
          <t>Major</t>
        </is>
      </c>
      <c r="C189" s="48" t="inlineStr">
        <is>
          <t>EHS</t>
        </is>
      </c>
      <c r="D189" s="48">
        <f>A189&amp;B189&amp;C189</f>
        <v/>
      </c>
      <c r="E189" s="228" t="n">
        <v>0.5</v>
      </c>
    </row>
    <row r="190">
      <c r="A190" s="48" t="inlineStr">
        <is>
          <t>BH302</t>
        </is>
      </c>
      <c r="B190" s="48" t="inlineStr">
        <is>
          <t>Minor</t>
        </is>
      </c>
      <c r="C190" s="48" t="inlineStr">
        <is>
          <t>EHS</t>
        </is>
      </c>
      <c r="D190" s="48">
        <f>A190&amp;B190&amp;C190</f>
        <v/>
      </c>
      <c r="E190" s="228" t="n">
        <v>1</v>
      </c>
    </row>
    <row r="191">
      <c r="A191" s="48" t="inlineStr">
        <is>
          <t>BH302</t>
        </is>
      </c>
      <c r="B191" s="48" t="inlineStr">
        <is>
          <t>N/A</t>
        </is>
      </c>
      <c r="C191" s="48" t="inlineStr">
        <is>
          <t>EHS</t>
        </is>
      </c>
      <c r="D191" s="48">
        <f>A191&amp;B191&amp;C191</f>
        <v/>
      </c>
      <c r="E191" s="228" t="n">
        <v>2</v>
      </c>
    </row>
    <row r="192">
      <c r="A192" s="48" t="inlineStr">
        <is>
          <t>BH401</t>
        </is>
      </c>
      <c r="B192" s="48" t="inlineStr">
        <is>
          <t>Conformance</t>
        </is>
      </c>
      <c r="C192" s="48" t="inlineStr">
        <is>
          <t>EHS</t>
        </is>
      </c>
      <c r="D192" s="48">
        <f>A192&amp;B192&amp;C192</f>
        <v/>
      </c>
      <c r="E192" s="228" t="n">
        <v>6</v>
      </c>
    </row>
    <row r="193">
      <c r="A193" s="48" t="inlineStr">
        <is>
          <t>BH401</t>
        </is>
      </c>
      <c r="B193" s="48" t="inlineStr">
        <is>
          <t>Priority</t>
        </is>
      </c>
      <c r="C193" s="48" t="inlineStr">
        <is>
          <t>EHS</t>
        </is>
      </c>
      <c r="D193" s="48">
        <f>A193&amp;B193&amp;C193</f>
        <v/>
      </c>
      <c r="E193" s="228" t="n">
        <v>0</v>
      </c>
    </row>
    <row r="194">
      <c r="A194" s="48" t="inlineStr">
        <is>
          <t>BH401</t>
        </is>
      </c>
      <c r="B194" s="48" t="inlineStr">
        <is>
          <t>Major</t>
        </is>
      </c>
      <c r="C194" s="48" t="inlineStr">
        <is>
          <t>EHS</t>
        </is>
      </c>
      <c r="D194" s="48">
        <f>A194&amp;B194&amp;C194</f>
        <v/>
      </c>
      <c r="E194" s="228" t="n">
        <v>2</v>
      </c>
    </row>
    <row r="195">
      <c r="A195" s="48" t="inlineStr">
        <is>
          <t>BH401</t>
        </is>
      </c>
      <c r="B195" s="48" t="inlineStr">
        <is>
          <t>Minor</t>
        </is>
      </c>
      <c r="C195" s="48" t="inlineStr">
        <is>
          <t>EHS</t>
        </is>
      </c>
      <c r="D195" s="48">
        <f>A195&amp;B195&amp;C195</f>
        <v/>
      </c>
      <c r="E195" s="228" t="n">
        <v>4</v>
      </c>
    </row>
    <row r="196">
      <c r="A196" s="48" t="inlineStr">
        <is>
          <t>BH401</t>
        </is>
      </c>
      <c r="B196" s="48" t="inlineStr">
        <is>
          <t>N/A</t>
        </is>
      </c>
      <c r="C196" s="48" t="inlineStr">
        <is>
          <t>EHS</t>
        </is>
      </c>
      <c r="D196" s="48">
        <f>A196&amp;B196&amp;C196</f>
        <v/>
      </c>
      <c r="E196" s="228" t="n">
        <v>6</v>
      </c>
    </row>
    <row r="197">
      <c r="A197" s="48" t="inlineStr">
        <is>
          <t>BH501</t>
        </is>
      </c>
      <c r="B197" s="48" t="inlineStr">
        <is>
          <t>Conformance</t>
        </is>
      </c>
      <c r="C197" s="48" t="inlineStr">
        <is>
          <t>EHS</t>
        </is>
      </c>
      <c r="D197" s="48">
        <f>A197&amp;B197&amp;C197</f>
        <v/>
      </c>
      <c r="E197" s="228" t="n">
        <v>2</v>
      </c>
    </row>
    <row r="198">
      <c r="A198" s="48" t="inlineStr">
        <is>
          <t>BH501</t>
        </is>
      </c>
      <c r="B198" s="48" t="inlineStr">
        <is>
          <t>Priority</t>
        </is>
      </c>
      <c r="C198" s="48" t="inlineStr">
        <is>
          <t>EHS</t>
        </is>
      </c>
      <c r="D198" s="48">
        <f>A198&amp;B198&amp;C198</f>
        <v/>
      </c>
      <c r="E198" s="228" t="n">
        <v>0</v>
      </c>
    </row>
    <row r="199">
      <c r="A199" s="48" t="inlineStr">
        <is>
          <t>BH501</t>
        </is>
      </c>
      <c r="B199" s="48" t="inlineStr">
        <is>
          <t>Major</t>
        </is>
      </c>
      <c r="C199" s="48" t="inlineStr">
        <is>
          <t>EHS</t>
        </is>
      </c>
      <c r="D199" s="48">
        <f>A199&amp;B199&amp;C199</f>
        <v/>
      </c>
      <c r="E199" s="228" t="n">
        <v>0.5</v>
      </c>
    </row>
    <row r="200">
      <c r="A200" s="48" t="inlineStr">
        <is>
          <t>BH501</t>
        </is>
      </c>
      <c r="B200" s="48" t="inlineStr">
        <is>
          <t>Minor</t>
        </is>
      </c>
      <c r="C200" s="48" t="inlineStr">
        <is>
          <t>EHS</t>
        </is>
      </c>
      <c r="D200" s="48">
        <f>A200&amp;B200&amp;C200</f>
        <v/>
      </c>
      <c r="E200" s="228" t="n">
        <v>1</v>
      </c>
    </row>
    <row r="201">
      <c r="A201" s="48" t="inlineStr">
        <is>
          <t>BH501</t>
        </is>
      </c>
      <c r="B201" s="48" t="inlineStr">
        <is>
          <t>N/A</t>
        </is>
      </c>
      <c r="C201" s="48" t="inlineStr">
        <is>
          <t>EHS</t>
        </is>
      </c>
      <c r="D201" s="48">
        <f>A201&amp;B201&amp;C201</f>
        <v/>
      </c>
      <c r="E201" s="228" t="n">
        <v>2</v>
      </c>
    </row>
    <row r="202">
      <c r="A202" s="48" t="inlineStr">
        <is>
          <t>BH601</t>
        </is>
      </c>
      <c r="B202" s="48" t="inlineStr">
        <is>
          <t>Conformance</t>
        </is>
      </c>
      <c r="C202" s="48" t="inlineStr">
        <is>
          <t>EHS</t>
        </is>
      </c>
      <c r="D202" s="48">
        <f>A202&amp;B202&amp;C202</f>
        <v/>
      </c>
      <c r="E202" s="228" t="n">
        <v>6</v>
      </c>
    </row>
    <row r="203">
      <c r="A203" s="48" t="inlineStr">
        <is>
          <t>BH601</t>
        </is>
      </c>
      <c r="B203" s="48" t="inlineStr">
        <is>
          <t>Priority</t>
        </is>
      </c>
      <c r="C203" s="48" t="inlineStr">
        <is>
          <t>EHS</t>
        </is>
      </c>
      <c r="D203" s="48">
        <f>A203&amp;B203&amp;C203</f>
        <v/>
      </c>
      <c r="E203" s="228" t="n">
        <v>0</v>
      </c>
    </row>
    <row r="204">
      <c r="A204" s="48" t="inlineStr">
        <is>
          <t>BH601</t>
        </is>
      </c>
      <c r="B204" s="48" t="inlineStr">
        <is>
          <t>Major</t>
        </is>
      </c>
      <c r="C204" s="48" t="inlineStr">
        <is>
          <t>EHS</t>
        </is>
      </c>
      <c r="D204" s="48">
        <f>A204&amp;B204&amp;C204</f>
        <v/>
      </c>
      <c r="E204" s="228" t="n">
        <v>2</v>
      </c>
    </row>
    <row r="205">
      <c r="A205" s="48" t="inlineStr">
        <is>
          <t>BH601</t>
        </is>
      </c>
      <c r="B205" s="48" t="inlineStr">
        <is>
          <t>Minor</t>
        </is>
      </c>
      <c r="C205" s="48" t="inlineStr">
        <is>
          <t>EHS</t>
        </is>
      </c>
      <c r="D205" s="48">
        <f>A205&amp;B205&amp;C205</f>
        <v/>
      </c>
      <c r="E205" s="228" t="n">
        <v>4</v>
      </c>
    </row>
    <row r="206">
      <c r="A206" s="48" t="inlineStr">
        <is>
          <t>BH601</t>
        </is>
      </c>
      <c r="B206" s="48" t="inlineStr">
        <is>
          <t>N/A</t>
        </is>
      </c>
      <c r="C206" s="48" t="inlineStr">
        <is>
          <t>EHS</t>
        </is>
      </c>
      <c r="D206" s="48">
        <f>A206&amp;B206&amp;C206</f>
        <v/>
      </c>
      <c r="E206" s="228" t="n">
        <v>6</v>
      </c>
    </row>
    <row r="207">
      <c r="A207" s="48" t="inlineStr">
        <is>
          <t>BH701</t>
        </is>
      </c>
      <c r="B207" s="48" t="inlineStr">
        <is>
          <t>Conformance</t>
        </is>
      </c>
      <c r="C207" s="48" t="inlineStr">
        <is>
          <t>EHS</t>
        </is>
      </c>
      <c r="D207" s="48">
        <f>A207&amp;B207&amp;C207</f>
        <v/>
      </c>
      <c r="E207" s="228" t="n">
        <v>2</v>
      </c>
    </row>
    <row r="208">
      <c r="A208" s="48" t="inlineStr">
        <is>
          <t>BH701</t>
        </is>
      </c>
      <c r="B208" s="48" t="inlineStr">
        <is>
          <t>Priority</t>
        </is>
      </c>
      <c r="C208" s="48" t="inlineStr">
        <is>
          <t>EHS</t>
        </is>
      </c>
      <c r="D208" s="48">
        <f>A208&amp;B208&amp;C208</f>
        <v/>
      </c>
      <c r="E208" s="228" t="n">
        <v>0</v>
      </c>
    </row>
    <row r="209">
      <c r="A209" s="48" t="inlineStr">
        <is>
          <t>BH701</t>
        </is>
      </c>
      <c r="B209" s="48" t="inlineStr">
        <is>
          <t>Major</t>
        </is>
      </c>
      <c r="C209" s="48" t="inlineStr">
        <is>
          <t>EHS</t>
        </is>
      </c>
      <c r="D209" s="48">
        <f>A209&amp;B209&amp;C209</f>
        <v/>
      </c>
      <c r="E209" s="228" t="n">
        <v>0.5</v>
      </c>
    </row>
    <row r="210">
      <c r="A210" s="48" t="inlineStr">
        <is>
          <t>BH701</t>
        </is>
      </c>
      <c r="B210" s="48" t="inlineStr">
        <is>
          <t>Minor</t>
        </is>
      </c>
      <c r="C210" s="48" t="inlineStr">
        <is>
          <t>EHS</t>
        </is>
      </c>
      <c r="D210" s="48">
        <f>A210&amp;B210&amp;C210</f>
        <v/>
      </c>
      <c r="E210" s="228" t="n">
        <v>1</v>
      </c>
    </row>
    <row r="211">
      <c r="A211" s="48" t="inlineStr">
        <is>
          <t>BH701</t>
        </is>
      </c>
      <c r="B211" s="48" t="inlineStr">
        <is>
          <t>N/A</t>
        </is>
      </c>
      <c r="C211" s="48" t="inlineStr">
        <is>
          <t>EHS</t>
        </is>
      </c>
      <c r="D211" s="48">
        <f>A211&amp;B211&amp;C211</f>
        <v/>
      </c>
      <c r="E211" s="228" t="n">
        <v>2</v>
      </c>
    </row>
    <row r="212">
      <c r="A212" s="48" t="inlineStr">
        <is>
          <t>BH702</t>
        </is>
      </c>
      <c r="B212" s="48" t="inlineStr">
        <is>
          <t>Conformance</t>
        </is>
      </c>
      <c r="C212" s="48" t="inlineStr">
        <is>
          <t>EHS</t>
        </is>
      </c>
      <c r="D212" s="48">
        <f>A212&amp;B212&amp;C212</f>
        <v/>
      </c>
      <c r="E212" s="228" t="n">
        <v>2</v>
      </c>
    </row>
    <row r="213">
      <c r="A213" s="48" t="inlineStr">
        <is>
          <t>BH702</t>
        </is>
      </c>
      <c r="B213" s="48" t="inlineStr">
        <is>
          <t>Priority</t>
        </is>
      </c>
      <c r="C213" s="48" t="inlineStr">
        <is>
          <t>EHS</t>
        </is>
      </c>
      <c r="D213" s="48">
        <f>A213&amp;B213&amp;C213</f>
        <v/>
      </c>
      <c r="E213" s="228" t="n">
        <v>0</v>
      </c>
    </row>
    <row r="214">
      <c r="A214" s="48" t="inlineStr">
        <is>
          <t>BH702</t>
        </is>
      </c>
      <c r="B214" s="48" t="inlineStr">
        <is>
          <t>Major</t>
        </is>
      </c>
      <c r="C214" s="48" t="inlineStr">
        <is>
          <t>EHS</t>
        </is>
      </c>
      <c r="D214" s="48">
        <f>A214&amp;B214&amp;C214</f>
        <v/>
      </c>
      <c r="E214" s="228" t="n">
        <v>0.5</v>
      </c>
    </row>
    <row r="215">
      <c r="A215" s="48" t="inlineStr">
        <is>
          <t>BH702</t>
        </is>
      </c>
      <c r="B215" s="48" t="inlineStr">
        <is>
          <t>Minor</t>
        </is>
      </c>
      <c r="C215" s="48" t="inlineStr">
        <is>
          <t>EHS</t>
        </is>
      </c>
      <c r="D215" s="48">
        <f>A215&amp;B215&amp;C215</f>
        <v/>
      </c>
      <c r="E215" s="228" t="n">
        <v>1</v>
      </c>
    </row>
    <row r="216">
      <c r="A216" s="48" t="inlineStr">
        <is>
          <t>BH702</t>
        </is>
      </c>
      <c r="B216" s="48" t="inlineStr">
        <is>
          <t>N/A</t>
        </is>
      </c>
      <c r="C216" s="48" t="inlineStr">
        <is>
          <t>EHS</t>
        </is>
      </c>
      <c r="D216" s="48">
        <f>A216&amp;B216&amp;C216</f>
        <v/>
      </c>
      <c r="E216" s="228" t="n">
        <v>2</v>
      </c>
    </row>
    <row r="217">
      <c r="A217" s="48" t="inlineStr">
        <is>
          <t>BM101</t>
        </is>
      </c>
      <c r="B217" s="48" t="inlineStr">
        <is>
          <t>Conformance</t>
        </is>
      </c>
      <c r="C217" s="48" t="inlineStr">
        <is>
          <t>EHS</t>
        </is>
      </c>
      <c r="D217" s="48">
        <f>A217&amp;B217&amp;C217</f>
        <v/>
      </c>
      <c r="E217" s="228" t="n">
        <v>1</v>
      </c>
    </row>
    <row r="218">
      <c r="A218" s="48" t="inlineStr">
        <is>
          <t>BM101</t>
        </is>
      </c>
      <c r="B218" s="48" t="inlineStr">
        <is>
          <t>Priority</t>
        </is>
      </c>
      <c r="C218" s="48" t="inlineStr">
        <is>
          <t>EHS</t>
        </is>
      </c>
      <c r="D218" s="48">
        <f>A218&amp;B218&amp;C218</f>
        <v/>
      </c>
      <c r="E218" s="228" t="n">
        <v>0</v>
      </c>
    </row>
    <row r="219">
      <c r="A219" s="48" t="inlineStr">
        <is>
          <t>BM101</t>
        </is>
      </c>
      <c r="B219" s="48" t="inlineStr">
        <is>
          <t>Major</t>
        </is>
      </c>
      <c r="C219" s="48" t="inlineStr">
        <is>
          <t>EHS</t>
        </is>
      </c>
      <c r="D219" s="48">
        <f>A219&amp;B219&amp;C219</f>
        <v/>
      </c>
      <c r="E219" s="228" t="n">
        <v>0.2</v>
      </c>
    </row>
    <row r="220">
      <c r="A220" s="48" t="inlineStr">
        <is>
          <t>BM101</t>
        </is>
      </c>
      <c r="B220" s="48" t="inlineStr">
        <is>
          <t>Minor</t>
        </is>
      </c>
      <c r="C220" s="48" t="inlineStr">
        <is>
          <t>EHS</t>
        </is>
      </c>
      <c r="D220" s="48">
        <f>A220&amp;B220&amp;C220</f>
        <v/>
      </c>
      <c r="E220" s="228" t="n">
        <v>0.5</v>
      </c>
    </row>
    <row r="221">
      <c r="A221" s="48" t="inlineStr">
        <is>
          <t>BM101</t>
        </is>
      </c>
      <c r="B221" s="48" t="inlineStr">
        <is>
          <t>N/A</t>
        </is>
      </c>
      <c r="C221" s="48" t="inlineStr">
        <is>
          <t>EHS</t>
        </is>
      </c>
      <c r="D221" s="48">
        <f>A221&amp;B221&amp;C221</f>
        <v/>
      </c>
      <c r="E221" s="228" t="n">
        <v>1</v>
      </c>
    </row>
    <row r="222">
      <c r="A222" s="48" t="inlineStr">
        <is>
          <t>BM102</t>
        </is>
      </c>
      <c r="B222" s="48" t="inlineStr">
        <is>
          <t>Conformance</t>
        </is>
      </c>
      <c r="C222" s="48" t="inlineStr">
        <is>
          <t>EHS</t>
        </is>
      </c>
      <c r="D222" s="48">
        <f>A222&amp;B222&amp;C222</f>
        <v/>
      </c>
      <c r="E222" s="228" t="n">
        <v>3</v>
      </c>
    </row>
    <row r="223">
      <c r="A223" s="48" t="inlineStr">
        <is>
          <t>BM102</t>
        </is>
      </c>
      <c r="B223" s="48" t="inlineStr">
        <is>
          <t>Priority</t>
        </is>
      </c>
      <c r="C223" s="48" t="inlineStr">
        <is>
          <t>EHS</t>
        </is>
      </c>
      <c r="D223" s="48">
        <f>A223&amp;B223&amp;C223</f>
        <v/>
      </c>
      <c r="E223" s="228" t="n">
        <v>0</v>
      </c>
    </row>
    <row r="224">
      <c r="A224" s="48" t="inlineStr">
        <is>
          <t>BM102</t>
        </is>
      </c>
      <c r="B224" s="48" t="inlineStr">
        <is>
          <t>Major</t>
        </is>
      </c>
      <c r="C224" s="48" t="inlineStr">
        <is>
          <t>EHS</t>
        </is>
      </c>
      <c r="D224" s="48">
        <f>A224&amp;B224&amp;C224</f>
        <v/>
      </c>
      <c r="E224" s="228" t="n">
        <v>1</v>
      </c>
    </row>
    <row r="225">
      <c r="A225" s="48" t="inlineStr">
        <is>
          <t>BM102</t>
        </is>
      </c>
      <c r="B225" s="48" t="inlineStr">
        <is>
          <t>Minor</t>
        </is>
      </c>
      <c r="C225" s="48" t="inlineStr">
        <is>
          <t>EHS</t>
        </is>
      </c>
      <c r="D225" s="48">
        <f>A225&amp;B225&amp;C225</f>
        <v/>
      </c>
      <c r="E225" s="228" t="n">
        <v>2</v>
      </c>
    </row>
    <row r="226">
      <c r="A226" s="48" t="inlineStr">
        <is>
          <t>BM102</t>
        </is>
      </c>
      <c r="B226" s="48" t="inlineStr">
        <is>
          <t>N/A</t>
        </is>
      </c>
      <c r="C226" s="48" t="inlineStr">
        <is>
          <t>EHS</t>
        </is>
      </c>
      <c r="D226" s="48">
        <f>A226&amp;B226&amp;C226</f>
        <v/>
      </c>
      <c r="E226" s="228" t="n">
        <v>3</v>
      </c>
    </row>
    <row r="227">
      <c r="A227" s="48" t="inlineStr">
        <is>
          <t>BM201</t>
        </is>
      </c>
      <c r="B227" s="48" t="inlineStr">
        <is>
          <t>Conformance</t>
        </is>
      </c>
      <c r="C227" s="48" t="inlineStr">
        <is>
          <t>EHS</t>
        </is>
      </c>
      <c r="D227" s="48">
        <f>A227&amp;B227&amp;C227</f>
        <v/>
      </c>
      <c r="E227" s="228" t="n">
        <v>2</v>
      </c>
    </row>
    <row r="228">
      <c r="A228" s="48" t="inlineStr">
        <is>
          <t>BM201</t>
        </is>
      </c>
      <c r="B228" s="48" t="inlineStr">
        <is>
          <t>Priority</t>
        </is>
      </c>
      <c r="C228" s="48" t="inlineStr">
        <is>
          <t>EHS</t>
        </is>
      </c>
      <c r="D228" s="48">
        <f>A228&amp;B228&amp;C228</f>
        <v/>
      </c>
      <c r="E228" s="228" t="n">
        <v>0</v>
      </c>
    </row>
    <row r="229">
      <c r="A229" s="48" t="inlineStr">
        <is>
          <t>BM201</t>
        </is>
      </c>
      <c r="B229" s="48" t="inlineStr">
        <is>
          <t>Major</t>
        </is>
      </c>
      <c r="C229" s="48" t="inlineStr">
        <is>
          <t>EHS</t>
        </is>
      </c>
      <c r="D229" s="48">
        <f>A229&amp;B229&amp;C229</f>
        <v/>
      </c>
      <c r="E229" s="228" t="n">
        <v>0.5</v>
      </c>
    </row>
    <row r="230">
      <c r="A230" s="48" t="inlineStr">
        <is>
          <t>BM201</t>
        </is>
      </c>
      <c r="B230" s="48" t="inlineStr">
        <is>
          <t>Minor</t>
        </is>
      </c>
      <c r="C230" s="48" t="inlineStr">
        <is>
          <t>EHS</t>
        </is>
      </c>
      <c r="D230" s="48">
        <f>A230&amp;B230&amp;C230</f>
        <v/>
      </c>
      <c r="E230" s="228" t="n">
        <v>1</v>
      </c>
    </row>
    <row r="231">
      <c r="A231" s="48" t="inlineStr">
        <is>
          <t>BM201</t>
        </is>
      </c>
      <c r="B231" s="48" t="inlineStr">
        <is>
          <t>N/A</t>
        </is>
      </c>
      <c r="C231" s="48" t="inlineStr">
        <is>
          <t>EHS</t>
        </is>
      </c>
      <c r="D231" s="48">
        <f>A231&amp;B231&amp;C231</f>
        <v/>
      </c>
      <c r="E231" s="228" t="n">
        <v>2</v>
      </c>
    </row>
    <row r="232">
      <c r="A232" s="48" t="inlineStr">
        <is>
          <t>BM202</t>
        </is>
      </c>
      <c r="B232" s="48" t="inlineStr">
        <is>
          <t>Conformance</t>
        </is>
      </c>
      <c r="C232" s="48" t="inlineStr">
        <is>
          <t>EHS</t>
        </is>
      </c>
      <c r="D232" s="48">
        <f>A232&amp;B232&amp;C232</f>
        <v/>
      </c>
      <c r="E232" s="228" t="n">
        <v>1</v>
      </c>
    </row>
    <row r="233">
      <c r="A233" s="48" t="inlineStr">
        <is>
          <t>BM202</t>
        </is>
      </c>
      <c r="B233" s="48" t="inlineStr">
        <is>
          <t>Priority</t>
        </is>
      </c>
      <c r="C233" s="48" t="inlineStr">
        <is>
          <t>EHS</t>
        </is>
      </c>
      <c r="D233" s="48">
        <f>A233&amp;B233&amp;C233</f>
        <v/>
      </c>
      <c r="E233" s="228" t="n">
        <v>0</v>
      </c>
    </row>
    <row r="234">
      <c r="A234" s="48" t="inlineStr">
        <is>
          <t>BM202</t>
        </is>
      </c>
      <c r="B234" s="48" t="inlineStr">
        <is>
          <t>Major</t>
        </is>
      </c>
      <c r="C234" s="48" t="inlineStr">
        <is>
          <t>EHS</t>
        </is>
      </c>
      <c r="D234" s="48">
        <f>A234&amp;B234&amp;C234</f>
        <v/>
      </c>
      <c r="E234" s="228" t="n">
        <v>0.2</v>
      </c>
    </row>
    <row r="235">
      <c r="A235" s="48" t="inlineStr">
        <is>
          <t>BM202</t>
        </is>
      </c>
      <c r="B235" s="48" t="inlineStr">
        <is>
          <t>Minor</t>
        </is>
      </c>
      <c r="C235" s="48" t="inlineStr">
        <is>
          <t>EHS</t>
        </is>
      </c>
      <c r="D235" s="48">
        <f>A235&amp;B235&amp;C235</f>
        <v/>
      </c>
      <c r="E235" s="228" t="n">
        <v>0.5</v>
      </c>
    </row>
    <row r="236">
      <c r="A236" s="48" t="inlineStr">
        <is>
          <t>BM202</t>
        </is>
      </c>
      <c r="B236" s="48" t="inlineStr">
        <is>
          <t>N/A</t>
        </is>
      </c>
      <c r="C236" s="48" t="inlineStr">
        <is>
          <t>EHS</t>
        </is>
      </c>
      <c r="D236" s="48">
        <f>A236&amp;B236&amp;C236</f>
        <v/>
      </c>
      <c r="E236" s="228" t="n">
        <v>1</v>
      </c>
    </row>
    <row r="237">
      <c r="A237" s="48" t="inlineStr">
        <is>
          <t>BM203</t>
        </is>
      </c>
      <c r="B237" s="48" t="inlineStr">
        <is>
          <t>Conformance</t>
        </is>
      </c>
      <c r="C237" s="48" t="inlineStr">
        <is>
          <t>EHS</t>
        </is>
      </c>
      <c r="D237" s="48">
        <f>A237&amp;B237&amp;C237</f>
        <v/>
      </c>
      <c r="E237" s="228" t="n">
        <v>2</v>
      </c>
    </row>
    <row r="238">
      <c r="A238" s="48" t="inlineStr">
        <is>
          <t>BM203</t>
        </is>
      </c>
      <c r="B238" s="48" t="inlineStr">
        <is>
          <t>Priority</t>
        </is>
      </c>
      <c r="C238" s="48" t="inlineStr">
        <is>
          <t>EHS</t>
        </is>
      </c>
      <c r="D238" s="48">
        <f>A238&amp;B238&amp;C238</f>
        <v/>
      </c>
      <c r="E238" s="228" t="n">
        <v>0</v>
      </c>
    </row>
    <row r="239">
      <c r="A239" s="48" t="inlineStr">
        <is>
          <t>BM203</t>
        </is>
      </c>
      <c r="B239" s="48" t="inlineStr">
        <is>
          <t>Major</t>
        </is>
      </c>
      <c r="C239" s="48" t="inlineStr">
        <is>
          <t>EHS</t>
        </is>
      </c>
      <c r="D239" s="48">
        <f>A239&amp;B239&amp;C239</f>
        <v/>
      </c>
      <c r="E239" s="228" t="n">
        <v>0.5</v>
      </c>
    </row>
    <row r="240">
      <c r="A240" s="48" t="inlineStr">
        <is>
          <t>BM203</t>
        </is>
      </c>
      <c r="B240" s="48" t="inlineStr">
        <is>
          <t>Minor</t>
        </is>
      </c>
      <c r="C240" s="48" t="inlineStr">
        <is>
          <t>EHS</t>
        </is>
      </c>
      <c r="D240" s="48">
        <f>A240&amp;B240&amp;C240</f>
        <v/>
      </c>
      <c r="E240" s="228" t="n">
        <v>1</v>
      </c>
    </row>
    <row r="241">
      <c r="A241" s="48" t="inlineStr">
        <is>
          <t>BM203</t>
        </is>
      </c>
      <c r="B241" s="48" t="inlineStr">
        <is>
          <t>N/A</t>
        </is>
      </c>
      <c r="C241" s="48" t="inlineStr">
        <is>
          <t>EHS</t>
        </is>
      </c>
      <c r="D241" s="48">
        <f>A241&amp;B241&amp;C241</f>
        <v/>
      </c>
      <c r="E241" s="228" t="n">
        <v>2</v>
      </c>
    </row>
    <row r="242">
      <c r="A242" s="48" t="inlineStr">
        <is>
          <t>BM301</t>
        </is>
      </c>
      <c r="B242" s="48" t="inlineStr">
        <is>
          <t>Conformance</t>
        </is>
      </c>
      <c r="C242" s="48" t="inlineStr">
        <is>
          <t>EHS</t>
        </is>
      </c>
      <c r="D242" s="48">
        <f>A242&amp;B242&amp;C242</f>
        <v/>
      </c>
      <c r="E242" s="228" t="n">
        <v>1</v>
      </c>
    </row>
    <row r="243">
      <c r="A243" s="48" t="inlineStr">
        <is>
          <t>BM301</t>
        </is>
      </c>
      <c r="B243" s="48" t="inlineStr">
        <is>
          <t>Priority</t>
        </is>
      </c>
      <c r="C243" s="48" t="inlineStr">
        <is>
          <t>EHS</t>
        </is>
      </c>
      <c r="D243" s="48">
        <f>A243&amp;B243&amp;C243</f>
        <v/>
      </c>
      <c r="E243" s="228" t="n">
        <v>0</v>
      </c>
    </row>
    <row r="244">
      <c r="A244" s="48" t="inlineStr">
        <is>
          <t>BM301</t>
        </is>
      </c>
      <c r="B244" s="48" t="inlineStr">
        <is>
          <t>Major</t>
        </is>
      </c>
      <c r="C244" s="48" t="inlineStr">
        <is>
          <t>EHS</t>
        </is>
      </c>
      <c r="D244" s="48">
        <f>A244&amp;B244&amp;C244</f>
        <v/>
      </c>
      <c r="E244" s="228" t="n">
        <v>0.2</v>
      </c>
    </row>
    <row r="245">
      <c r="A245" s="48" t="inlineStr">
        <is>
          <t>BM301</t>
        </is>
      </c>
      <c r="B245" s="48" t="inlineStr">
        <is>
          <t>Minor</t>
        </is>
      </c>
      <c r="C245" s="48" t="inlineStr">
        <is>
          <t>EHS</t>
        </is>
      </c>
      <c r="D245" s="48">
        <f>A245&amp;B245&amp;C245</f>
        <v/>
      </c>
      <c r="E245" s="228" t="n">
        <v>0.5</v>
      </c>
    </row>
    <row r="246">
      <c r="A246" s="48" t="inlineStr">
        <is>
          <t>BM301</t>
        </is>
      </c>
      <c r="B246" s="48" t="inlineStr">
        <is>
          <t>N/A</t>
        </is>
      </c>
      <c r="C246" s="48" t="inlineStr">
        <is>
          <t>EHS</t>
        </is>
      </c>
      <c r="D246" s="48">
        <f>A246&amp;B246&amp;C246</f>
        <v/>
      </c>
      <c r="E246" s="228" t="n">
        <v>1</v>
      </c>
    </row>
    <row r="247">
      <c r="A247" s="48" t="inlineStr">
        <is>
          <t>BM302</t>
        </is>
      </c>
      <c r="B247" s="48" t="inlineStr">
        <is>
          <t>Conformance</t>
        </is>
      </c>
      <c r="C247" s="48" t="inlineStr">
        <is>
          <t>EHS</t>
        </is>
      </c>
      <c r="D247" s="48">
        <f>A247&amp;B247&amp;C247</f>
        <v/>
      </c>
      <c r="E247" s="228" t="n">
        <v>1</v>
      </c>
    </row>
    <row r="248">
      <c r="A248" s="48" t="inlineStr">
        <is>
          <t>BM302</t>
        </is>
      </c>
      <c r="B248" s="48" t="inlineStr">
        <is>
          <t>Priority</t>
        </is>
      </c>
      <c r="C248" s="48" t="inlineStr">
        <is>
          <t>EHS</t>
        </is>
      </c>
      <c r="D248" s="48">
        <f>A248&amp;B248&amp;C248</f>
        <v/>
      </c>
      <c r="E248" s="228" t="n">
        <v>0</v>
      </c>
    </row>
    <row r="249">
      <c r="A249" s="48" t="inlineStr">
        <is>
          <t>BM302</t>
        </is>
      </c>
      <c r="B249" s="48" t="inlineStr">
        <is>
          <t>Major</t>
        </is>
      </c>
      <c r="C249" s="48" t="inlineStr">
        <is>
          <t>EHS</t>
        </is>
      </c>
      <c r="D249" s="48">
        <f>A249&amp;B249&amp;C249</f>
        <v/>
      </c>
      <c r="E249" s="228" t="n">
        <v>0.2</v>
      </c>
    </row>
    <row r="250">
      <c r="A250" s="48" t="inlineStr">
        <is>
          <t>BM302</t>
        </is>
      </c>
      <c r="B250" s="48" t="inlineStr">
        <is>
          <t>Minor</t>
        </is>
      </c>
      <c r="C250" s="48" t="inlineStr">
        <is>
          <t>EHS</t>
        </is>
      </c>
      <c r="D250" s="48">
        <f>A250&amp;B250&amp;C250</f>
        <v/>
      </c>
      <c r="E250" s="228" t="n">
        <v>0.5</v>
      </c>
    </row>
    <row r="251">
      <c r="A251" s="48" t="inlineStr">
        <is>
          <t>BM302</t>
        </is>
      </c>
      <c r="B251" s="48" t="inlineStr">
        <is>
          <t>N/A</t>
        </is>
      </c>
      <c r="C251" s="48" t="inlineStr">
        <is>
          <t>EHS</t>
        </is>
      </c>
      <c r="D251" s="48">
        <f>A251&amp;B251&amp;C251</f>
        <v/>
      </c>
      <c r="E251" s="228" t="n">
        <v>1</v>
      </c>
    </row>
    <row r="252">
      <c r="A252" s="48" t="inlineStr">
        <is>
          <t>BM401</t>
        </is>
      </c>
      <c r="B252" s="48" t="inlineStr">
        <is>
          <t>Conformance</t>
        </is>
      </c>
      <c r="C252" s="48" t="inlineStr">
        <is>
          <t>EHS</t>
        </is>
      </c>
      <c r="D252" s="48">
        <f>A252&amp;B252&amp;C252</f>
        <v/>
      </c>
      <c r="E252" s="228" t="n">
        <v>1</v>
      </c>
    </row>
    <row r="253">
      <c r="A253" s="48" t="inlineStr">
        <is>
          <t>BM401</t>
        </is>
      </c>
      <c r="B253" s="48" t="inlineStr">
        <is>
          <t>Priority</t>
        </is>
      </c>
      <c r="C253" s="48" t="inlineStr">
        <is>
          <t>EHS</t>
        </is>
      </c>
      <c r="D253" s="48">
        <f>A253&amp;B253&amp;C253</f>
        <v/>
      </c>
      <c r="E253" s="228" t="n">
        <v>0</v>
      </c>
    </row>
    <row r="254">
      <c r="A254" s="48" t="inlineStr">
        <is>
          <t>BM401</t>
        </is>
      </c>
      <c r="B254" s="48" t="inlineStr">
        <is>
          <t>Major</t>
        </is>
      </c>
      <c r="C254" s="48" t="inlineStr">
        <is>
          <t>EHS</t>
        </is>
      </c>
      <c r="D254" s="48">
        <f>A254&amp;B254&amp;C254</f>
        <v/>
      </c>
      <c r="E254" s="228" t="n">
        <v>0.2</v>
      </c>
    </row>
    <row r="255">
      <c r="A255" s="48" t="inlineStr">
        <is>
          <t>BM401</t>
        </is>
      </c>
      <c r="B255" s="48" t="inlineStr">
        <is>
          <t>Minor</t>
        </is>
      </c>
      <c r="C255" s="48" t="inlineStr">
        <is>
          <t>EHS</t>
        </is>
      </c>
      <c r="D255" s="48">
        <f>A255&amp;B255&amp;C255</f>
        <v/>
      </c>
      <c r="E255" s="228" t="n">
        <v>0.5</v>
      </c>
    </row>
    <row r="256">
      <c r="A256" s="48" t="inlineStr">
        <is>
          <t>BM401</t>
        </is>
      </c>
      <c r="B256" s="48" t="inlineStr">
        <is>
          <t>N/A</t>
        </is>
      </c>
      <c r="C256" s="48" t="inlineStr">
        <is>
          <t>EHS</t>
        </is>
      </c>
      <c r="D256" s="48">
        <f>A256&amp;B256&amp;C256</f>
        <v/>
      </c>
      <c r="E256" s="228" t="n">
        <v>1</v>
      </c>
    </row>
    <row r="257">
      <c r="A257" s="48" t="inlineStr">
        <is>
          <t>BM402</t>
        </is>
      </c>
      <c r="B257" s="48" t="inlineStr">
        <is>
          <t>Conformance</t>
        </is>
      </c>
      <c r="C257" s="48" t="inlineStr">
        <is>
          <t>EHS</t>
        </is>
      </c>
      <c r="D257" s="48">
        <f>A257&amp;B257&amp;C257</f>
        <v/>
      </c>
      <c r="E257" s="228" t="n">
        <v>1</v>
      </c>
    </row>
    <row r="258">
      <c r="A258" s="48" t="inlineStr">
        <is>
          <t>BM402</t>
        </is>
      </c>
      <c r="B258" s="48" t="inlineStr">
        <is>
          <t>Priority</t>
        </is>
      </c>
      <c r="C258" s="48" t="inlineStr">
        <is>
          <t>EHS</t>
        </is>
      </c>
      <c r="D258" s="48">
        <f>A258&amp;B258&amp;C258</f>
        <v/>
      </c>
      <c r="E258" s="228" t="n">
        <v>0</v>
      </c>
    </row>
    <row r="259">
      <c r="A259" s="48" t="inlineStr">
        <is>
          <t>BM402</t>
        </is>
      </c>
      <c r="B259" s="48" t="inlineStr">
        <is>
          <t>Major</t>
        </is>
      </c>
      <c r="C259" s="48" t="inlineStr">
        <is>
          <t>EHS</t>
        </is>
      </c>
      <c r="D259" s="48">
        <f>A259&amp;B259&amp;C259</f>
        <v/>
      </c>
      <c r="E259" s="228" t="n">
        <v>0.2</v>
      </c>
    </row>
    <row r="260">
      <c r="A260" s="48" t="inlineStr">
        <is>
          <t>BM402</t>
        </is>
      </c>
      <c r="B260" s="48" t="inlineStr">
        <is>
          <t>Minor</t>
        </is>
      </c>
      <c r="C260" s="48" t="inlineStr">
        <is>
          <t>EHS</t>
        </is>
      </c>
      <c r="D260" s="48">
        <f>A260&amp;B260&amp;C260</f>
        <v/>
      </c>
      <c r="E260" s="228" t="n">
        <v>0.5</v>
      </c>
    </row>
    <row r="261">
      <c r="A261" s="48" t="inlineStr">
        <is>
          <t>BM402</t>
        </is>
      </c>
      <c r="B261" s="48" t="inlineStr">
        <is>
          <t>N/A</t>
        </is>
      </c>
      <c r="C261" s="48" t="inlineStr">
        <is>
          <t>EHS</t>
        </is>
      </c>
      <c r="D261" s="48">
        <f>A261&amp;B261&amp;C261</f>
        <v/>
      </c>
      <c r="E261" s="228" t="n">
        <v>1</v>
      </c>
    </row>
    <row r="262">
      <c r="A262" s="48" t="inlineStr">
        <is>
          <t>BM403</t>
        </is>
      </c>
      <c r="B262" s="48" t="inlineStr">
        <is>
          <t>Conformance</t>
        </is>
      </c>
      <c r="C262" s="48" t="inlineStr">
        <is>
          <t>EHS</t>
        </is>
      </c>
      <c r="D262" s="48">
        <f>A262&amp;B262&amp;C262</f>
        <v/>
      </c>
      <c r="E262" s="228" t="n">
        <v>1</v>
      </c>
    </row>
    <row r="263">
      <c r="A263" s="48" t="inlineStr">
        <is>
          <t>BM403</t>
        </is>
      </c>
      <c r="B263" s="48" t="inlineStr">
        <is>
          <t>Priority</t>
        </is>
      </c>
      <c r="C263" s="48" t="inlineStr">
        <is>
          <t>EHS</t>
        </is>
      </c>
      <c r="D263" s="48">
        <f>A263&amp;B263&amp;C263</f>
        <v/>
      </c>
      <c r="E263" s="228" t="n">
        <v>0</v>
      </c>
    </row>
    <row r="264">
      <c r="A264" s="48" t="inlineStr">
        <is>
          <t>BM403</t>
        </is>
      </c>
      <c r="B264" s="48" t="inlineStr">
        <is>
          <t>Major</t>
        </is>
      </c>
      <c r="C264" s="48" t="inlineStr">
        <is>
          <t>EHS</t>
        </is>
      </c>
      <c r="D264" s="48">
        <f>A264&amp;B264&amp;C264</f>
        <v/>
      </c>
      <c r="E264" s="228" t="n">
        <v>0.2</v>
      </c>
    </row>
    <row r="265">
      <c r="A265" s="48" t="inlineStr">
        <is>
          <t>BM403</t>
        </is>
      </c>
      <c r="B265" s="48" t="inlineStr">
        <is>
          <t>Minor</t>
        </is>
      </c>
      <c r="C265" s="48" t="inlineStr">
        <is>
          <t>EHS</t>
        </is>
      </c>
      <c r="D265" s="48">
        <f>A265&amp;B265&amp;C265</f>
        <v/>
      </c>
      <c r="E265" s="228" t="n">
        <v>0.5</v>
      </c>
    </row>
    <row r="266">
      <c r="A266" s="48" t="inlineStr">
        <is>
          <t>BM403</t>
        </is>
      </c>
      <c r="B266" s="48" t="inlineStr">
        <is>
          <t>N/A</t>
        </is>
      </c>
      <c r="C266" s="48" t="inlineStr">
        <is>
          <t>EHS</t>
        </is>
      </c>
      <c r="D266" s="48">
        <f>A266&amp;B266&amp;C266</f>
        <v/>
      </c>
      <c r="E266" s="228" t="n">
        <v>1</v>
      </c>
    </row>
    <row r="267">
      <c r="A267" s="48" t="inlineStr">
        <is>
          <t>CE101</t>
        </is>
      </c>
      <c r="B267" s="48" t="inlineStr">
        <is>
          <t>Conformance</t>
        </is>
      </c>
      <c r="C267" s="48" t="inlineStr">
        <is>
          <t>EHS</t>
        </is>
      </c>
      <c r="D267" s="48">
        <f>A267&amp;B267&amp;C267</f>
        <v/>
      </c>
      <c r="E267" s="228" t="n">
        <v>6</v>
      </c>
    </row>
    <row r="268">
      <c r="A268" s="48" t="inlineStr">
        <is>
          <t>CE101</t>
        </is>
      </c>
      <c r="B268" s="48" t="inlineStr">
        <is>
          <t>Priority</t>
        </is>
      </c>
      <c r="C268" s="48" t="inlineStr">
        <is>
          <t>EHS</t>
        </is>
      </c>
      <c r="D268" s="48">
        <f>A268&amp;B268&amp;C268</f>
        <v/>
      </c>
      <c r="E268" s="228" t="n">
        <v>0</v>
      </c>
    </row>
    <row r="269">
      <c r="A269" s="48" t="inlineStr">
        <is>
          <t>CE101</t>
        </is>
      </c>
      <c r="B269" s="48" t="inlineStr">
        <is>
          <t>Major</t>
        </is>
      </c>
      <c r="C269" s="48" t="inlineStr">
        <is>
          <t>EHS</t>
        </is>
      </c>
      <c r="D269" s="48">
        <f>A269&amp;B269&amp;C269</f>
        <v/>
      </c>
      <c r="E269" s="228" t="n">
        <v>2</v>
      </c>
    </row>
    <row r="270">
      <c r="A270" s="48" t="inlineStr">
        <is>
          <t>CE101</t>
        </is>
      </c>
      <c r="B270" s="48" t="inlineStr">
        <is>
          <t>Minor</t>
        </is>
      </c>
      <c r="C270" s="48" t="inlineStr">
        <is>
          <t>EHS</t>
        </is>
      </c>
      <c r="D270" s="48">
        <f>A270&amp;B270&amp;C270</f>
        <v/>
      </c>
      <c r="E270" s="228" t="n">
        <v>4</v>
      </c>
    </row>
    <row r="271">
      <c r="A271" s="48" t="inlineStr">
        <is>
          <t>CE101</t>
        </is>
      </c>
      <c r="B271" s="48" t="inlineStr">
        <is>
          <t>N/A</t>
        </is>
      </c>
      <c r="C271" s="48" t="inlineStr">
        <is>
          <t>EHS</t>
        </is>
      </c>
      <c r="D271" s="48">
        <f>A271&amp;B271&amp;C271</f>
        <v/>
      </c>
      <c r="E271" s="228" t="n">
        <v>6</v>
      </c>
    </row>
    <row r="272">
      <c r="A272" s="48" t="inlineStr">
        <is>
          <t>CE201</t>
        </is>
      </c>
      <c r="B272" s="48" t="inlineStr">
        <is>
          <t>Conformance</t>
        </is>
      </c>
      <c r="C272" s="48" t="inlineStr">
        <is>
          <t>EHS</t>
        </is>
      </c>
      <c r="D272" s="48">
        <f>A272&amp;B272&amp;C272</f>
        <v/>
      </c>
      <c r="E272" s="228" t="n">
        <v>5</v>
      </c>
    </row>
    <row r="273">
      <c r="A273" s="48" t="inlineStr">
        <is>
          <t>CE201</t>
        </is>
      </c>
      <c r="B273" s="48" t="inlineStr">
        <is>
          <t>Priority</t>
        </is>
      </c>
      <c r="C273" s="48" t="inlineStr">
        <is>
          <t>EHS</t>
        </is>
      </c>
      <c r="D273" s="48">
        <f>A273&amp;B273&amp;C273</f>
        <v/>
      </c>
      <c r="E273" s="228" t="n">
        <v>0</v>
      </c>
    </row>
    <row r="274">
      <c r="A274" s="48" t="inlineStr">
        <is>
          <t>CE201</t>
        </is>
      </c>
      <c r="B274" s="48" t="inlineStr">
        <is>
          <t>Major</t>
        </is>
      </c>
      <c r="C274" s="48" t="inlineStr">
        <is>
          <t>EHS</t>
        </is>
      </c>
      <c r="D274" s="48">
        <f>A274&amp;B274&amp;C274</f>
        <v/>
      </c>
      <c r="E274" s="228" t="n">
        <v>1</v>
      </c>
    </row>
    <row r="275">
      <c r="A275" s="48" t="inlineStr">
        <is>
          <t>CE201</t>
        </is>
      </c>
      <c r="B275" s="48" t="inlineStr">
        <is>
          <t>Minor</t>
        </is>
      </c>
      <c r="C275" s="48" t="inlineStr">
        <is>
          <t>EHS</t>
        </is>
      </c>
      <c r="D275" s="48">
        <f>A275&amp;B275&amp;C275</f>
        <v/>
      </c>
      <c r="E275" s="228" t="n">
        <v>3</v>
      </c>
    </row>
    <row r="276">
      <c r="A276" s="48" t="inlineStr">
        <is>
          <t>CE201</t>
        </is>
      </c>
      <c r="B276" s="48" t="inlineStr">
        <is>
          <t>N/A</t>
        </is>
      </c>
      <c r="C276" s="48" t="inlineStr">
        <is>
          <t>EHS</t>
        </is>
      </c>
      <c r="D276" s="48">
        <f>A276&amp;B276&amp;C276</f>
        <v/>
      </c>
      <c r="E276" s="228" t="n">
        <v>5</v>
      </c>
    </row>
    <row r="277">
      <c r="A277" s="48" t="inlineStr">
        <is>
          <t>CE301</t>
        </is>
      </c>
      <c r="B277" s="48" t="inlineStr">
        <is>
          <t>Conformance</t>
        </is>
      </c>
      <c r="C277" s="48" t="inlineStr">
        <is>
          <t>EHS</t>
        </is>
      </c>
      <c r="D277" s="48">
        <f>A277&amp;B277&amp;C277</f>
        <v/>
      </c>
      <c r="E277" s="228" t="n">
        <v>3</v>
      </c>
    </row>
    <row r="278">
      <c r="A278" s="48" t="inlineStr">
        <is>
          <t>CE301</t>
        </is>
      </c>
      <c r="B278" s="48" t="inlineStr">
        <is>
          <t>Priority</t>
        </is>
      </c>
      <c r="C278" s="48" t="inlineStr">
        <is>
          <t>EHS</t>
        </is>
      </c>
      <c r="D278" s="48">
        <f>A278&amp;B278&amp;C278</f>
        <v/>
      </c>
      <c r="E278" s="228" t="n">
        <v>0</v>
      </c>
    </row>
    <row r="279">
      <c r="A279" s="48" t="inlineStr">
        <is>
          <t>CE301</t>
        </is>
      </c>
      <c r="B279" s="48" t="inlineStr">
        <is>
          <t>Major</t>
        </is>
      </c>
      <c r="C279" s="48" t="inlineStr">
        <is>
          <t>EHS</t>
        </is>
      </c>
      <c r="D279" s="48">
        <f>A279&amp;B279&amp;C279</f>
        <v/>
      </c>
      <c r="E279" s="228" t="n">
        <v>1</v>
      </c>
    </row>
    <row r="280">
      <c r="A280" s="48" t="inlineStr">
        <is>
          <t>CE301</t>
        </is>
      </c>
      <c r="B280" s="48" t="inlineStr">
        <is>
          <t>Minor</t>
        </is>
      </c>
      <c r="C280" s="48" t="inlineStr">
        <is>
          <t>EHS</t>
        </is>
      </c>
      <c r="D280" s="48">
        <f>A280&amp;B280&amp;C280</f>
        <v/>
      </c>
      <c r="E280" s="228" t="n">
        <v>2</v>
      </c>
    </row>
    <row r="281">
      <c r="A281" s="48" t="inlineStr">
        <is>
          <t>CE301</t>
        </is>
      </c>
      <c r="B281" s="48" t="inlineStr">
        <is>
          <t>N/A</t>
        </is>
      </c>
      <c r="C281" s="48" t="inlineStr">
        <is>
          <t>EHS</t>
        </is>
      </c>
      <c r="D281" s="48">
        <f>A281&amp;B281&amp;C281</f>
        <v/>
      </c>
      <c r="E281" s="228" t="n">
        <v>3</v>
      </c>
    </row>
    <row r="282">
      <c r="A282" s="48" t="inlineStr">
        <is>
          <t>CE401</t>
        </is>
      </c>
      <c r="B282" s="48" t="inlineStr">
        <is>
          <t>Conformance</t>
        </is>
      </c>
      <c r="C282" s="48" t="inlineStr">
        <is>
          <t>EHS</t>
        </is>
      </c>
      <c r="D282" s="48">
        <f>A282&amp;B282&amp;C282</f>
        <v/>
      </c>
      <c r="E282" s="228" t="n">
        <v>5</v>
      </c>
    </row>
    <row r="283">
      <c r="A283" s="48" t="inlineStr">
        <is>
          <t>CE401</t>
        </is>
      </c>
      <c r="B283" s="48" t="inlineStr">
        <is>
          <t>Priority</t>
        </is>
      </c>
      <c r="C283" s="48" t="inlineStr">
        <is>
          <t>EHS</t>
        </is>
      </c>
      <c r="D283" s="48">
        <f>A283&amp;B283&amp;C283</f>
        <v/>
      </c>
      <c r="E283" s="228" t="n">
        <v>0</v>
      </c>
    </row>
    <row r="284">
      <c r="A284" s="48" t="inlineStr">
        <is>
          <t>CE401</t>
        </is>
      </c>
      <c r="B284" s="48" t="inlineStr">
        <is>
          <t>Major</t>
        </is>
      </c>
      <c r="C284" s="48" t="inlineStr">
        <is>
          <t>EHS</t>
        </is>
      </c>
      <c r="D284" s="48">
        <f>A284&amp;B284&amp;C284</f>
        <v/>
      </c>
      <c r="E284" s="228" t="n">
        <v>1</v>
      </c>
    </row>
    <row r="285">
      <c r="A285" s="48" t="inlineStr">
        <is>
          <t>CE401</t>
        </is>
      </c>
      <c r="B285" s="48" t="inlineStr">
        <is>
          <t>Minor</t>
        </is>
      </c>
      <c r="C285" s="48" t="inlineStr">
        <is>
          <t>EHS</t>
        </is>
      </c>
      <c r="D285" s="48">
        <f>A285&amp;B285&amp;C285</f>
        <v/>
      </c>
      <c r="E285" s="228" t="n">
        <v>3</v>
      </c>
    </row>
    <row r="286">
      <c r="A286" s="48" t="inlineStr">
        <is>
          <t>CE401</t>
        </is>
      </c>
      <c r="B286" s="48" t="inlineStr">
        <is>
          <t>N/A</t>
        </is>
      </c>
      <c r="C286" s="48" t="inlineStr">
        <is>
          <t>EHS</t>
        </is>
      </c>
      <c r="D286" s="48">
        <f>A286&amp;B286&amp;C286</f>
        <v/>
      </c>
      <c r="E286" s="228" t="n">
        <v>5</v>
      </c>
    </row>
    <row r="287">
      <c r="A287" s="48" t="inlineStr">
        <is>
          <t>CE402</t>
        </is>
      </c>
      <c r="B287" s="48" t="inlineStr">
        <is>
          <t>Conformance</t>
        </is>
      </c>
      <c r="C287" s="48" t="inlineStr">
        <is>
          <t>EHS</t>
        </is>
      </c>
      <c r="D287" s="48">
        <f>A287&amp;B287&amp;C287</f>
        <v/>
      </c>
      <c r="E287" s="228" t="n">
        <v>1</v>
      </c>
    </row>
    <row r="288">
      <c r="A288" s="48" t="inlineStr">
        <is>
          <t>CE402</t>
        </is>
      </c>
      <c r="B288" s="48" t="inlineStr">
        <is>
          <t>Priority</t>
        </is>
      </c>
      <c r="C288" s="48" t="inlineStr">
        <is>
          <t>EHS</t>
        </is>
      </c>
      <c r="D288" s="48">
        <f>A288&amp;B288&amp;C288</f>
        <v/>
      </c>
      <c r="E288" s="228" t="n">
        <v>0</v>
      </c>
    </row>
    <row r="289">
      <c r="A289" s="48" t="inlineStr">
        <is>
          <t>CE402</t>
        </is>
      </c>
      <c r="B289" s="48" t="inlineStr">
        <is>
          <t>Major</t>
        </is>
      </c>
      <c r="C289" s="48" t="inlineStr">
        <is>
          <t>EHS</t>
        </is>
      </c>
      <c r="D289" s="48">
        <f>A289&amp;B289&amp;C289</f>
        <v/>
      </c>
      <c r="E289" s="228" t="n">
        <v>0.2</v>
      </c>
    </row>
    <row r="290">
      <c r="A290" s="48" t="inlineStr">
        <is>
          <t>CE402</t>
        </is>
      </c>
      <c r="B290" s="48" t="inlineStr">
        <is>
          <t>Minor</t>
        </is>
      </c>
      <c r="C290" s="48" t="inlineStr">
        <is>
          <t>EHS</t>
        </is>
      </c>
      <c r="D290" s="48">
        <f>A290&amp;B290&amp;C290</f>
        <v/>
      </c>
      <c r="E290" s="228" t="n">
        <v>0.5</v>
      </c>
    </row>
    <row r="291">
      <c r="A291" s="48" t="inlineStr">
        <is>
          <t>CE402</t>
        </is>
      </c>
      <c r="B291" s="48" t="inlineStr">
        <is>
          <t>N/A</t>
        </is>
      </c>
      <c r="C291" s="48" t="inlineStr">
        <is>
          <t>EHS</t>
        </is>
      </c>
      <c r="D291" s="48">
        <f>A291&amp;B291&amp;C291</f>
        <v/>
      </c>
      <c r="E291" s="228" t="n">
        <v>1</v>
      </c>
    </row>
    <row r="292">
      <c r="A292" s="48" t="inlineStr">
        <is>
          <t>CE501</t>
        </is>
      </c>
      <c r="B292" s="48" t="inlineStr">
        <is>
          <t>Conformance</t>
        </is>
      </c>
      <c r="C292" s="48" t="inlineStr">
        <is>
          <t>EHS</t>
        </is>
      </c>
      <c r="D292" s="48">
        <f>A292&amp;B292&amp;C292</f>
        <v/>
      </c>
      <c r="E292" s="228" t="n">
        <v>5</v>
      </c>
    </row>
    <row r="293">
      <c r="A293" s="48" t="inlineStr">
        <is>
          <t>CE501</t>
        </is>
      </c>
      <c r="B293" s="48" t="inlineStr">
        <is>
          <t>Priority</t>
        </is>
      </c>
      <c r="C293" s="48" t="inlineStr">
        <is>
          <t>EHS</t>
        </is>
      </c>
      <c r="D293" s="48">
        <f>A293&amp;B293&amp;C293</f>
        <v/>
      </c>
      <c r="E293" s="228" t="n">
        <v>0</v>
      </c>
    </row>
    <row r="294">
      <c r="A294" s="48" t="inlineStr">
        <is>
          <t>CE501</t>
        </is>
      </c>
      <c r="B294" s="48" t="inlineStr">
        <is>
          <t>Major</t>
        </is>
      </c>
      <c r="C294" s="48" t="inlineStr">
        <is>
          <t>EHS</t>
        </is>
      </c>
      <c r="D294" s="48">
        <f>A294&amp;B294&amp;C294</f>
        <v/>
      </c>
      <c r="E294" s="228" t="n">
        <v>1</v>
      </c>
    </row>
    <row r="295">
      <c r="A295" s="48" t="inlineStr">
        <is>
          <t>CE501</t>
        </is>
      </c>
      <c r="B295" s="48" t="inlineStr">
        <is>
          <t>Minor</t>
        </is>
      </c>
      <c r="C295" s="48" t="inlineStr">
        <is>
          <t>EHS</t>
        </is>
      </c>
      <c r="D295" s="48">
        <f>A295&amp;B295&amp;C295</f>
        <v/>
      </c>
      <c r="E295" s="228" t="n">
        <v>3</v>
      </c>
    </row>
    <row r="296">
      <c r="A296" s="48" t="inlineStr">
        <is>
          <t>CE501</t>
        </is>
      </c>
      <c r="B296" s="48" t="inlineStr">
        <is>
          <t>N/A</t>
        </is>
      </c>
      <c r="C296" s="48" t="inlineStr">
        <is>
          <t>EHS</t>
        </is>
      </c>
      <c r="D296" s="48">
        <f>A296&amp;B296&amp;C296</f>
        <v/>
      </c>
      <c r="E296" s="228" t="n">
        <v>5</v>
      </c>
    </row>
    <row r="297">
      <c r="A297" s="48" t="inlineStr">
        <is>
          <t>CE601</t>
        </is>
      </c>
      <c r="B297" s="48" t="inlineStr">
        <is>
          <t>Conformance</t>
        </is>
      </c>
      <c r="C297" s="48" t="inlineStr">
        <is>
          <t>EHS</t>
        </is>
      </c>
      <c r="D297" s="48">
        <f>A297&amp;B297&amp;C297</f>
        <v/>
      </c>
      <c r="E297" s="228" t="n">
        <v>3</v>
      </c>
    </row>
    <row r="298">
      <c r="A298" s="48" t="inlineStr">
        <is>
          <t>CE601</t>
        </is>
      </c>
      <c r="B298" s="48" t="inlineStr">
        <is>
          <t>Priority</t>
        </is>
      </c>
      <c r="C298" s="48" t="inlineStr">
        <is>
          <t>EHS</t>
        </is>
      </c>
      <c r="D298" s="48">
        <f>A298&amp;B298&amp;C298</f>
        <v/>
      </c>
      <c r="E298" s="228" t="n">
        <v>0</v>
      </c>
    </row>
    <row r="299">
      <c r="A299" s="48" t="inlineStr">
        <is>
          <t>CE601</t>
        </is>
      </c>
      <c r="B299" s="48" t="inlineStr">
        <is>
          <t>Major</t>
        </is>
      </c>
      <c r="C299" s="48" t="inlineStr">
        <is>
          <t>EHS</t>
        </is>
      </c>
      <c r="D299" s="48">
        <f>A299&amp;B299&amp;C299</f>
        <v/>
      </c>
      <c r="E299" s="228" t="n">
        <v>1</v>
      </c>
    </row>
    <row r="300">
      <c r="A300" s="48" t="inlineStr">
        <is>
          <t>CE601</t>
        </is>
      </c>
      <c r="B300" s="48" t="inlineStr">
        <is>
          <t>Minor</t>
        </is>
      </c>
      <c r="C300" s="48" t="inlineStr">
        <is>
          <t>EHS</t>
        </is>
      </c>
      <c r="D300" s="48">
        <f>A300&amp;B300&amp;C300</f>
        <v/>
      </c>
      <c r="E300" s="228" t="n">
        <v>2</v>
      </c>
    </row>
    <row r="301">
      <c r="A301" s="48" t="inlineStr">
        <is>
          <t>CE601</t>
        </is>
      </c>
      <c r="B301" s="48" t="inlineStr">
        <is>
          <t>N/A</t>
        </is>
      </c>
      <c r="C301" s="48" t="inlineStr">
        <is>
          <t>EHS</t>
        </is>
      </c>
      <c r="D301" s="48">
        <f>A301&amp;B301&amp;C301</f>
        <v/>
      </c>
      <c r="E301" s="228" t="n">
        <v>3</v>
      </c>
    </row>
    <row r="302">
      <c r="A302" s="48" t="inlineStr">
        <is>
          <t>CM101</t>
        </is>
      </c>
      <c r="B302" s="48" t="inlineStr">
        <is>
          <t>Conformance</t>
        </is>
      </c>
      <c r="C302" s="48" t="inlineStr">
        <is>
          <t>EHS</t>
        </is>
      </c>
      <c r="D302" s="48">
        <f>A302&amp;B302&amp;C302</f>
        <v/>
      </c>
      <c r="E302" s="228" t="n">
        <v>1</v>
      </c>
    </row>
    <row r="303">
      <c r="A303" s="48" t="inlineStr">
        <is>
          <t>CM101</t>
        </is>
      </c>
      <c r="B303" s="48" t="inlineStr">
        <is>
          <t>Priority</t>
        </is>
      </c>
      <c r="C303" s="48" t="inlineStr">
        <is>
          <t>EHS</t>
        </is>
      </c>
      <c r="D303" s="48">
        <f>A303&amp;B303&amp;C303</f>
        <v/>
      </c>
      <c r="E303" s="228" t="n">
        <v>0</v>
      </c>
    </row>
    <row r="304">
      <c r="A304" s="48" t="inlineStr">
        <is>
          <t>CM101</t>
        </is>
      </c>
      <c r="B304" s="48" t="inlineStr">
        <is>
          <t>Major</t>
        </is>
      </c>
      <c r="C304" s="48" t="inlineStr">
        <is>
          <t>EHS</t>
        </is>
      </c>
      <c r="D304" s="48">
        <f>A304&amp;B304&amp;C304</f>
        <v/>
      </c>
      <c r="E304" s="228" t="n">
        <v>0.2</v>
      </c>
    </row>
    <row r="305">
      <c r="A305" s="48" t="inlineStr">
        <is>
          <t>CM101</t>
        </is>
      </c>
      <c r="B305" s="48" t="inlineStr">
        <is>
          <t>Minor</t>
        </is>
      </c>
      <c r="C305" s="48" t="inlineStr">
        <is>
          <t>EHS</t>
        </is>
      </c>
      <c r="D305" s="48">
        <f>A305&amp;B305&amp;C305</f>
        <v/>
      </c>
      <c r="E305" s="228" t="n">
        <v>0.5</v>
      </c>
    </row>
    <row r="306">
      <c r="A306" s="48" t="inlineStr">
        <is>
          <t>CM101</t>
        </is>
      </c>
      <c r="B306" s="48" t="inlineStr">
        <is>
          <t>N/A</t>
        </is>
      </c>
      <c r="C306" s="48" t="inlineStr">
        <is>
          <t>EHS</t>
        </is>
      </c>
      <c r="D306" s="48">
        <f>A306&amp;B306&amp;C306</f>
        <v/>
      </c>
      <c r="E306" s="228" t="n">
        <v>1</v>
      </c>
    </row>
    <row r="307">
      <c r="A307" s="48" t="inlineStr">
        <is>
          <t>CM102</t>
        </is>
      </c>
      <c r="B307" s="48" t="inlineStr">
        <is>
          <t>Conformance</t>
        </is>
      </c>
      <c r="C307" s="48" t="inlineStr">
        <is>
          <t>EHS</t>
        </is>
      </c>
      <c r="D307" s="48">
        <f>A307&amp;B307&amp;C307</f>
        <v/>
      </c>
      <c r="E307" s="228" t="n">
        <v>2</v>
      </c>
    </row>
    <row r="308">
      <c r="A308" s="48" t="inlineStr">
        <is>
          <t>CM102</t>
        </is>
      </c>
      <c r="B308" s="48" t="inlineStr">
        <is>
          <t>Priority</t>
        </is>
      </c>
      <c r="C308" s="48" t="inlineStr">
        <is>
          <t>EHS</t>
        </is>
      </c>
      <c r="D308" s="48">
        <f>A308&amp;B308&amp;C308</f>
        <v/>
      </c>
      <c r="E308" s="228" t="n">
        <v>0</v>
      </c>
    </row>
    <row r="309">
      <c r="A309" s="48" t="inlineStr">
        <is>
          <t>CM102</t>
        </is>
      </c>
      <c r="B309" s="48" t="inlineStr">
        <is>
          <t>Major</t>
        </is>
      </c>
      <c r="C309" s="48" t="inlineStr">
        <is>
          <t>EHS</t>
        </is>
      </c>
      <c r="D309" s="48">
        <f>A309&amp;B309&amp;C309</f>
        <v/>
      </c>
      <c r="E309" s="228" t="n">
        <v>0.5</v>
      </c>
    </row>
    <row r="310">
      <c r="A310" s="48" t="inlineStr">
        <is>
          <t>CM102</t>
        </is>
      </c>
      <c r="B310" s="48" t="inlineStr">
        <is>
          <t>Minor</t>
        </is>
      </c>
      <c r="C310" s="48" t="inlineStr">
        <is>
          <t>EHS</t>
        </is>
      </c>
      <c r="D310" s="48">
        <f>A310&amp;B310&amp;C310</f>
        <v/>
      </c>
      <c r="E310" s="228" t="n">
        <v>1</v>
      </c>
    </row>
    <row r="311">
      <c r="A311" s="48" t="inlineStr">
        <is>
          <t>CM102</t>
        </is>
      </c>
      <c r="B311" s="48" t="inlineStr">
        <is>
          <t>N/A</t>
        </is>
      </c>
      <c r="C311" s="48" t="inlineStr">
        <is>
          <t>EHS</t>
        </is>
      </c>
      <c r="D311" s="48">
        <f>A311&amp;B311&amp;C311</f>
        <v/>
      </c>
      <c r="E311" s="228" t="n">
        <v>2</v>
      </c>
    </row>
    <row r="312">
      <c r="A312" s="48" t="inlineStr">
        <is>
          <t>CM201</t>
        </is>
      </c>
      <c r="B312" s="48" t="inlineStr">
        <is>
          <t>Conformance</t>
        </is>
      </c>
      <c r="C312" s="48" t="inlineStr">
        <is>
          <t>EHS</t>
        </is>
      </c>
      <c r="D312" s="48">
        <f>A312&amp;B312&amp;C312</f>
        <v/>
      </c>
      <c r="E312" s="228" t="n">
        <v>1</v>
      </c>
    </row>
    <row r="313">
      <c r="A313" s="48" t="inlineStr">
        <is>
          <t>CM201</t>
        </is>
      </c>
      <c r="B313" s="48" t="inlineStr">
        <is>
          <t>Priority</t>
        </is>
      </c>
      <c r="C313" s="48" t="inlineStr">
        <is>
          <t>EHS</t>
        </is>
      </c>
      <c r="D313" s="48">
        <f>A313&amp;B313&amp;C313</f>
        <v/>
      </c>
      <c r="E313" s="228" t="n">
        <v>0</v>
      </c>
    </row>
    <row r="314">
      <c r="A314" s="48" t="inlineStr">
        <is>
          <t>CM201</t>
        </is>
      </c>
      <c r="B314" s="48" t="inlineStr">
        <is>
          <t>Major</t>
        </is>
      </c>
      <c r="C314" s="48" t="inlineStr">
        <is>
          <t>EHS</t>
        </is>
      </c>
      <c r="D314" s="48">
        <f>A314&amp;B314&amp;C314</f>
        <v/>
      </c>
      <c r="E314" s="228" t="n">
        <v>0.2</v>
      </c>
    </row>
    <row r="315">
      <c r="A315" s="48" t="inlineStr">
        <is>
          <t>CM201</t>
        </is>
      </c>
      <c r="B315" s="48" t="inlineStr">
        <is>
          <t>Minor</t>
        </is>
      </c>
      <c r="C315" s="48" t="inlineStr">
        <is>
          <t>EHS</t>
        </is>
      </c>
      <c r="D315" s="48">
        <f>A315&amp;B315&amp;C315</f>
        <v/>
      </c>
      <c r="E315" s="228" t="n">
        <v>0.5</v>
      </c>
    </row>
    <row r="316">
      <c r="A316" s="48" t="inlineStr">
        <is>
          <t>CM201</t>
        </is>
      </c>
      <c r="B316" s="48" t="inlineStr">
        <is>
          <t>N/A</t>
        </is>
      </c>
      <c r="C316" s="48" t="inlineStr">
        <is>
          <t>EHS</t>
        </is>
      </c>
      <c r="D316" s="48">
        <f>A316&amp;B316&amp;C316</f>
        <v/>
      </c>
      <c r="E316" s="228" t="n">
        <v>1</v>
      </c>
    </row>
    <row r="317">
      <c r="A317" s="48" t="inlineStr">
        <is>
          <t>CM202</t>
        </is>
      </c>
      <c r="B317" s="48" t="inlineStr">
        <is>
          <t>Conformance</t>
        </is>
      </c>
      <c r="C317" s="48" t="inlineStr">
        <is>
          <t>EHS</t>
        </is>
      </c>
      <c r="D317" s="48">
        <f>A317&amp;B317&amp;C317</f>
        <v/>
      </c>
      <c r="E317" s="228" t="n">
        <v>1</v>
      </c>
    </row>
    <row r="318">
      <c r="A318" s="48" t="inlineStr">
        <is>
          <t>CM202</t>
        </is>
      </c>
      <c r="B318" s="48" t="inlineStr">
        <is>
          <t>Priority</t>
        </is>
      </c>
      <c r="C318" s="48" t="inlineStr">
        <is>
          <t>EHS</t>
        </is>
      </c>
      <c r="D318" s="48">
        <f>A318&amp;B318&amp;C318</f>
        <v/>
      </c>
      <c r="E318" s="228" t="n">
        <v>0</v>
      </c>
    </row>
    <row r="319">
      <c r="A319" s="48" t="inlineStr">
        <is>
          <t>CM202</t>
        </is>
      </c>
      <c r="B319" s="48" t="inlineStr">
        <is>
          <t>Major</t>
        </is>
      </c>
      <c r="C319" s="48" t="inlineStr">
        <is>
          <t>EHS</t>
        </is>
      </c>
      <c r="D319" s="48">
        <f>A319&amp;B319&amp;C319</f>
        <v/>
      </c>
      <c r="E319" s="228" t="n">
        <v>0.2</v>
      </c>
    </row>
    <row r="320">
      <c r="A320" s="48" t="inlineStr">
        <is>
          <t>CM202</t>
        </is>
      </c>
      <c r="B320" s="48" t="inlineStr">
        <is>
          <t>Minor</t>
        </is>
      </c>
      <c r="C320" s="48" t="inlineStr">
        <is>
          <t>EHS</t>
        </is>
      </c>
      <c r="D320" s="48">
        <f>A320&amp;B320&amp;C320</f>
        <v/>
      </c>
      <c r="E320" s="228" t="n">
        <v>0.5</v>
      </c>
    </row>
    <row r="321">
      <c r="A321" s="48" t="inlineStr">
        <is>
          <t>CM202</t>
        </is>
      </c>
      <c r="B321" s="48" t="inlineStr">
        <is>
          <t>N/A</t>
        </is>
      </c>
      <c r="C321" s="48" t="inlineStr">
        <is>
          <t>EHS</t>
        </is>
      </c>
      <c r="D321" s="48">
        <f>A321&amp;B321&amp;C321</f>
        <v/>
      </c>
      <c r="E321" s="228" t="n">
        <v>1</v>
      </c>
    </row>
    <row r="322">
      <c r="A322" s="48" t="inlineStr">
        <is>
          <t>CM203</t>
        </is>
      </c>
      <c r="B322" s="48" t="inlineStr">
        <is>
          <t>Conformance</t>
        </is>
      </c>
      <c r="C322" s="48" t="inlineStr">
        <is>
          <t>EHS</t>
        </is>
      </c>
      <c r="D322" s="48">
        <f>A322&amp;B322&amp;C322</f>
        <v/>
      </c>
      <c r="E322" s="228" t="n">
        <v>2</v>
      </c>
    </row>
    <row r="323">
      <c r="A323" s="48" t="inlineStr">
        <is>
          <t>CM203</t>
        </is>
      </c>
      <c r="B323" s="48" t="inlineStr">
        <is>
          <t>Priority</t>
        </is>
      </c>
      <c r="C323" s="48" t="inlineStr">
        <is>
          <t>EHS</t>
        </is>
      </c>
      <c r="D323" s="48">
        <f>A323&amp;B323&amp;C323</f>
        <v/>
      </c>
      <c r="E323" s="228" t="n">
        <v>0</v>
      </c>
    </row>
    <row r="324">
      <c r="A324" s="48" t="inlineStr">
        <is>
          <t>CM203</t>
        </is>
      </c>
      <c r="B324" s="48" t="inlineStr">
        <is>
          <t>Major</t>
        </is>
      </c>
      <c r="C324" s="48" t="inlineStr">
        <is>
          <t>EHS</t>
        </is>
      </c>
      <c r="D324" s="48">
        <f>A324&amp;B324&amp;C324</f>
        <v/>
      </c>
      <c r="E324" s="228" t="n">
        <v>0.5</v>
      </c>
    </row>
    <row r="325">
      <c r="A325" s="48" t="inlineStr">
        <is>
          <t>CM203</t>
        </is>
      </c>
      <c r="B325" s="48" t="inlineStr">
        <is>
          <t>Minor</t>
        </is>
      </c>
      <c r="C325" s="48" t="inlineStr">
        <is>
          <t>EHS</t>
        </is>
      </c>
      <c r="D325" s="48">
        <f>A325&amp;B325&amp;C325</f>
        <v/>
      </c>
      <c r="E325" s="228" t="n">
        <v>1</v>
      </c>
    </row>
    <row r="326">
      <c r="A326" s="48" t="inlineStr">
        <is>
          <t>CM203</t>
        </is>
      </c>
      <c r="B326" s="48" t="inlineStr">
        <is>
          <t>N/A</t>
        </is>
      </c>
      <c r="C326" s="48" t="inlineStr">
        <is>
          <t>EHS</t>
        </is>
      </c>
      <c r="D326" s="48">
        <f>A326&amp;B326&amp;C326</f>
        <v/>
      </c>
      <c r="E326" s="228" t="n">
        <v>2</v>
      </c>
    </row>
    <row r="327">
      <c r="A327" s="48" t="inlineStr">
        <is>
          <t>CM301</t>
        </is>
      </c>
      <c r="B327" s="48" t="inlineStr">
        <is>
          <t>Conformance</t>
        </is>
      </c>
      <c r="C327" s="48" t="inlineStr">
        <is>
          <t>EHS</t>
        </is>
      </c>
      <c r="D327" s="48">
        <f>A327&amp;B327&amp;C327</f>
        <v/>
      </c>
      <c r="E327" s="228" t="n">
        <v>1</v>
      </c>
    </row>
    <row r="328">
      <c r="A328" s="48" t="inlineStr">
        <is>
          <t>CM301</t>
        </is>
      </c>
      <c r="B328" s="48" t="inlineStr">
        <is>
          <t>Priority</t>
        </is>
      </c>
      <c r="C328" s="48" t="inlineStr">
        <is>
          <t>EHS</t>
        </is>
      </c>
      <c r="D328" s="48">
        <f>A328&amp;B328&amp;C328</f>
        <v/>
      </c>
      <c r="E328" s="228" t="n">
        <v>0</v>
      </c>
    </row>
    <row r="329">
      <c r="A329" s="48" t="inlineStr">
        <is>
          <t>CM301</t>
        </is>
      </c>
      <c r="B329" s="48" t="inlineStr">
        <is>
          <t>Major</t>
        </is>
      </c>
      <c r="C329" s="48" t="inlineStr">
        <is>
          <t>EHS</t>
        </is>
      </c>
      <c r="D329" s="48">
        <f>A329&amp;B329&amp;C329</f>
        <v/>
      </c>
      <c r="E329" s="228" t="n">
        <v>0.2</v>
      </c>
    </row>
    <row r="330">
      <c r="A330" s="48" t="inlineStr">
        <is>
          <t>CM301</t>
        </is>
      </c>
      <c r="B330" s="48" t="inlineStr">
        <is>
          <t>Minor</t>
        </is>
      </c>
      <c r="C330" s="48" t="inlineStr">
        <is>
          <t>EHS</t>
        </is>
      </c>
      <c r="D330" s="48">
        <f>A330&amp;B330&amp;C330</f>
        <v/>
      </c>
      <c r="E330" s="228" t="n">
        <v>0.5</v>
      </c>
    </row>
    <row r="331">
      <c r="A331" s="48" t="inlineStr">
        <is>
          <t>CM301</t>
        </is>
      </c>
      <c r="B331" s="48" t="inlineStr">
        <is>
          <t>N/A</t>
        </is>
      </c>
      <c r="C331" s="48" t="inlineStr">
        <is>
          <t>EHS</t>
        </is>
      </c>
      <c r="D331" s="48">
        <f>A331&amp;B331&amp;C331</f>
        <v/>
      </c>
      <c r="E331" s="228" t="n">
        <v>1</v>
      </c>
    </row>
    <row r="332">
      <c r="A332" s="48" t="inlineStr">
        <is>
          <t>CM302</t>
        </is>
      </c>
      <c r="B332" s="48" t="inlineStr">
        <is>
          <t>Conformance</t>
        </is>
      </c>
      <c r="C332" s="48" t="inlineStr">
        <is>
          <t>EHS</t>
        </is>
      </c>
      <c r="D332" s="48">
        <f>A332&amp;B332&amp;C332</f>
        <v/>
      </c>
      <c r="E332" s="228" t="n">
        <v>1</v>
      </c>
    </row>
    <row r="333">
      <c r="A333" s="48" t="inlineStr">
        <is>
          <t>CM302</t>
        </is>
      </c>
      <c r="B333" s="48" t="inlineStr">
        <is>
          <t>Priority</t>
        </is>
      </c>
      <c r="C333" s="48" t="inlineStr">
        <is>
          <t>EHS</t>
        </is>
      </c>
      <c r="D333" s="48">
        <f>A333&amp;B333&amp;C333</f>
        <v/>
      </c>
      <c r="E333" s="228" t="n">
        <v>0</v>
      </c>
    </row>
    <row r="334">
      <c r="A334" s="48" t="inlineStr">
        <is>
          <t>CM302</t>
        </is>
      </c>
      <c r="B334" s="48" t="inlineStr">
        <is>
          <t>Major</t>
        </is>
      </c>
      <c r="C334" s="48" t="inlineStr">
        <is>
          <t>EHS</t>
        </is>
      </c>
      <c r="D334" s="48">
        <f>A334&amp;B334&amp;C334</f>
        <v/>
      </c>
      <c r="E334" s="228" t="n">
        <v>0.2</v>
      </c>
    </row>
    <row r="335">
      <c r="A335" s="48" t="inlineStr">
        <is>
          <t>CM302</t>
        </is>
      </c>
      <c r="B335" s="48" t="inlineStr">
        <is>
          <t>Minor</t>
        </is>
      </c>
      <c r="C335" s="48" t="inlineStr">
        <is>
          <t>EHS</t>
        </is>
      </c>
      <c r="D335" s="48">
        <f>A335&amp;B335&amp;C335</f>
        <v/>
      </c>
      <c r="E335" s="228" t="n">
        <v>0.5</v>
      </c>
    </row>
    <row r="336">
      <c r="A336" s="48" t="inlineStr">
        <is>
          <t>CM302</t>
        </is>
      </c>
      <c r="B336" s="48" t="inlineStr">
        <is>
          <t>N/A</t>
        </is>
      </c>
      <c r="C336" s="48" t="inlineStr">
        <is>
          <t>EHS</t>
        </is>
      </c>
      <c r="D336" s="48">
        <f>A336&amp;B336&amp;C336</f>
        <v/>
      </c>
      <c r="E336" s="228" t="n">
        <v>1</v>
      </c>
    </row>
    <row r="337">
      <c r="A337" s="48" t="inlineStr">
        <is>
          <t>CM401</t>
        </is>
      </c>
      <c r="B337" s="48" t="inlineStr">
        <is>
          <t>Conformance</t>
        </is>
      </c>
      <c r="C337" s="48" t="inlineStr">
        <is>
          <t>EHS</t>
        </is>
      </c>
      <c r="D337" s="48">
        <f>A337&amp;B337&amp;C337</f>
        <v/>
      </c>
      <c r="E337" s="228" t="n">
        <v>1</v>
      </c>
    </row>
    <row r="338">
      <c r="A338" s="48" t="inlineStr">
        <is>
          <t>CM401</t>
        </is>
      </c>
      <c r="B338" s="48" t="inlineStr">
        <is>
          <t>Priority</t>
        </is>
      </c>
      <c r="C338" s="48" t="inlineStr">
        <is>
          <t>EHS</t>
        </is>
      </c>
      <c r="D338" s="48">
        <f>A338&amp;B338&amp;C338</f>
        <v/>
      </c>
      <c r="E338" s="228" t="n">
        <v>0</v>
      </c>
    </row>
    <row r="339">
      <c r="A339" s="48" t="inlineStr">
        <is>
          <t>CM401</t>
        </is>
      </c>
      <c r="B339" s="48" t="inlineStr">
        <is>
          <t>Major</t>
        </is>
      </c>
      <c r="C339" s="48" t="inlineStr">
        <is>
          <t>EHS</t>
        </is>
      </c>
      <c r="D339" s="48">
        <f>A339&amp;B339&amp;C339</f>
        <v/>
      </c>
      <c r="E339" s="228" t="n">
        <v>0.2</v>
      </c>
    </row>
    <row r="340">
      <c r="A340" s="48" t="inlineStr">
        <is>
          <t>CM401</t>
        </is>
      </c>
      <c r="B340" s="48" t="inlineStr">
        <is>
          <t>Minor</t>
        </is>
      </c>
      <c r="C340" s="48" t="inlineStr">
        <is>
          <t>EHS</t>
        </is>
      </c>
      <c r="D340" s="48">
        <f>A340&amp;B340&amp;C340</f>
        <v/>
      </c>
      <c r="E340" s="228" t="n">
        <v>0.5</v>
      </c>
    </row>
    <row r="341">
      <c r="A341" s="48" t="inlineStr">
        <is>
          <t>CM401</t>
        </is>
      </c>
      <c r="B341" s="48" t="inlineStr">
        <is>
          <t>N/A</t>
        </is>
      </c>
      <c r="C341" s="48" t="inlineStr">
        <is>
          <t>EHS</t>
        </is>
      </c>
      <c r="D341" s="48">
        <f>A341&amp;B341&amp;C341</f>
        <v/>
      </c>
      <c r="E341" s="228" t="n">
        <v>1</v>
      </c>
    </row>
    <row r="342">
      <c r="A342" s="48" t="inlineStr">
        <is>
          <t>CM402</t>
        </is>
      </c>
      <c r="B342" s="48" t="inlineStr">
        <is>
          <t>Conformance</t>
        </is>
      </c>
      <c r="C342" s="48" t="inlineStr">
        <is>
          <t>EHS</t>
        </is>
      </c>
      <c r="D342" s="48">
        <f>A342&amp;B342&amp;C342</f>
        <v/>
      </c>
      <c r="E342" s="228" t="n">
        <v>1</v>
      </c>
    </row>
    <row r="343">
      <c r="A343" s="48" t="inlineStr">
        <is>
          <t>CM402</t>
        </is>
      </c>
      <c r="B343" s="48" t="inlineStr">
        <is>
          <t>Priority</t>
        </is>
      </c>
      <c r="C343" s="48" t="inlineStr">
        <is>
          <t>EHS</t>
        </is>
      </c>
      <c r="D343" s="48">
        <f>A343&amp;B343&amp;C343</f>
        <v/>
      </c>
      <c r="E343" s="228" t="n">
        <v>0</v>
      </c>
    </row>
    <row r="344">
      <c r="A344" s="48" t="inlineStr">
        <is>
          <t>CM402</t>
        </is>
      </c>
      <c r="B344" s="48" t="inlineStr">
        <is>
          <t>Major</t>
        </is>
      </c>
      <c r="C344" s="48" t="inlineStr">
        <is>
          <t>EHS</t>
        </is>
      </c>
      <c r="D344" s="48">
        <f>A344&amp;B344&amp;C344</f>
        <v/>
      </c>
      <c r="E344" s="228" t="n">
        <v>0.2</v>
      </c>
    </row>
    <row r="345">
      <c r="A345" s="48" t="inlineStr">
        <is>
          <t>CM402</t>
        </is>
      </c>
      <c r="B345" s="48" t="inlineStr">
        <is>
          <t>Minor</t>
        </is>
      </c>
      <c r="C345" s="48" t="inlineStr">
        <is>
          <t>EHS</t>
        </is>
      </c>
      <c r="D345" s="48">
        <f>A345&amp;B345&amp;C345</f>
        <v/>
      </c>
      <c r="E345" s="228" t="n">
        <v>0.5</v>
      </c>
    </row>
    <row r="346">
      <c r="A346" s="48" t="inlineStr">
        <is>
          <t>CM402</t>
        </is>
      </c>
      <c r="B346" s="48" t="inlineStr">
        <is>
          <t>N/A</t>
        </is>
      </c>
      <c r="C346" s="48" t="inlineStr">
        <is>
          <t>EHS</t>
        </is>
      </c>
      <c r="D346" s="48">
        <f>A346&amp;B346&amp;C346</f>
        <v/>
      </c>
      <c r="E346" s="228" t="n">
        <v>1</v>
      </c>
    </row>
    <row r="347">
      <c r="A347" s="48" t="inlineStr">
        <is>
          <t>CM403</t>
        </is>
      </c>
      <c r="B347" s="48" t="inlineStr">
        <is>
          <t>Conformance</t>
        </is>
      </c>
      <c r="C347" s="48" t="inlineStr">
        <is>
          <t>EHS</t>
        </is>
      </c>
      <c r="D347" s="48">
        <f>A347&amp;B347&amp;C347</f>
        <v/>
      </c>
      <c r="E347" s="228" t="n">
        <v>1</v>
      </c>
    </row>
    <row r="348">
      <c r="A348" s="48" t="inlineStr">
        <is>
          <t>CM403</t>
        </is>
      </c>
      <c r="B348" s="48" t="inlineStr">
        <is>
          <t>Priority</t>
        </is>
      </c>
      <c r="C348" s="48" t="inlineStr">
        <is>
          <t>EHS</t>
        </is>
      </c>
      <c r="D348" s="48">
        <f>A348&amp;B348&amp;C348</f>
        <v/>
      </c>
      <c r="E348" s="228" t="n">
        <v>0</v>
      </c>
    </row>
    <row r="349">
      <c r="A349" s="48" t="inlineStr">
        <is>
          <t>CM403</t>
        </is>
      </c>
      <c r="B349" s="48" t="inlineStr">
        <is>
          <t>Major</t>
        </is>
      </c>
      <c r="C349" s="48" t="inlineStr">
        <is>
          <t>EHS</t>
        </is>
      </c>
      <c r="D349" s="48">
        <f>A349&amp;B349&amp;C349</f>
        <v/>
      </c>
      <c r="E349" s="228" t="n">
        <v>0.2</v>
      </c>
    </row>
    <row r="350">
      <c r="A350" s="48" t="inlineStr">
        <is>
          <t>CM403</t>
        </is>
      </c>
      <c r="B350" s="48" t="inlineStr">
        <is>
          <t>Minor</t>
        </is>
      </c>
      <c r="C350" s="48" t="inlineStr">
        <is>
          <t>EHS</t>
        </is>
      </c>
      <c r="D350" s="48">
        <f>A350&amp;B350&amp;C350</f>
        <v/>
      </c>
      <c r="E350" s="228" t="n">
        <v>0.5</v>
      </c>
    </row>
    <row r="351">
      <c r="A351" s="48" t="inlineStr">
        <is>
          <t>CM403</t>
        </is>
      </c>
      <c r="B351" s="48" t="inlineStr">
        <is>
          <t>N/A</t>
        </is>
      </c>
      <c r="C351" s="48" t="inlineStr">
        <is>
          <t>EHS</t>
        </is>
      </c>
      <c r="D351" s="48">
        <f>A351&amp;B351&amp;C351</f>
        <v/>
      </c>
      <c r="E351" s="228" t="n">
        <v>1</v>
      </c>
    </row>
    <row r="352">
      <c r="A352" s="61" t="inlineStr">
        <is>
          <t>DE101</t>
        </is>
      </c>
      <c r="B352" s="61" t="inlineStr">
        <is>
          <t>Conformance</t>
        </is>
      </c>
      <c r="C352" s="61" t="inlineStr">
        <is>
          <t>Labor</t>
        </is>
      </c>
      <c r="D352" s="61">
        <f>A352&amp;B352&amp;C352</f>
        <v/>
      </c>
      <c r="E352" s="227" t="n">
        <v>2</v>
      </c>
    </row>
    <row r="353">
      <c r="A353" s="61" t="inlineStr">
        <is>
          <t>DE101</t>
        </is>
      </c>
      <c r="B353" s="61" t="inlineStr">
        <is>
          <t>Priority</t>
        </is>
      </c>
      <c r="C353" s="61" t="inlineStr">
        <is>
          <t>Labor</t>
        </is>
      </c>
      <c r="D353" s="61">
        <f>A353&amp;B353&amp;C353</f>
        <v/>
      </c>
      <c r="E353" s="227" t="n">
        <v>0</v>
      </c>
    </row>
    <row r="354">
      <c r="A354" s="61" t="inlineStr">
        <is>
          <t>DE101</t>
        </is>
      </c>
      <c r="B354" s="61" t="inlineStr">
        <is>
          <t>Major</t>
        </is>
      </c>
      <c r="C354" s="61" t="inlineStr">
        <is>
          <t>Labor</t>
        </is>
      </c>
      <c r="D354" s="61">
        <f>A354&amp;B354&amp;C354</f>
        <v/>
      </c>
      <c r="E354" s="227" t="n">
        <v>0.5</v>
      </c>
    </row>
    <row r="355">
      <c r="A355" s="61" t="inlineStr">
        <is>
          <t>DE101</t>
        </is>
      </c>
      <c r="B355" s="61" t="inlineStr">
        <is>
          <t>Minor</t>
        </is>
      </c>
      <c r="C355" s="61" t="inlineStr">
        <is>
          <t>Labor</t>
        </is>
      </c>
      <c r="D355" s="61">
        <f>A355&amp;B355&amp;C355</f>
        <v/>
      </c>
      <c r="E355" s="227" t="n">
        <v>1</v>
      </c>
    </row>
    <row r="356">
      <c r="A356" s="61" t="inlineStr">
        <is>
          <t>DE101</t>
        </is>
      </c>
      <c r="B356" s="61" t="inlineStr">
        <is>
          <t>N/A</t>
        </is>
      </c>
      <c r="C356" s="61" t="inlineStr">
        <is>
          <t>Labor</t>
        </is>
      </c>
      <c r="D356" s="61">
        <f>A356&amp;B356&amp;C356</f>
        <v/>
      </c>
      <c r="E356" s="227" t="n">
        <v>2</v>
      </c>
    </row>
    <row r="357">
      <c r="A357" s="61" t="inlineStr">
        <is>
          <t>DE201</t>
        </is>
      </c>
      <c r="B357" s="61" t="inlineStr">
        <is>
          <t>Conformance</t>
        </is>
      </c>
      <c r="C357" s="61" t="inlineStr">
        <is>
          <t>Labor</t>
        </is>
      </c>
      <c r="D357" s="61">
        <f>A357&amp;B357&amp;C357</f>
        <v/>
      </c>
      <c r="E357" s="227" t="n">
        <v>2</v>
      </c>
    </row>
    <row r="358">
      <c r="A358" s="61" t="inlineStr">
        <is>
          <t>DE201</t>
        </is>
      </c>
      <c r="B358" s="61" t="inlineStr">
        <is>
          <t>Priority</t>
        </is>
      </c>
      <c r="C358" s="61" t="inlineStr">
        <is>
          <t>Labor</t>
        </is>
      </c>
      <c r="D358" s="61">
        <f>A358&amp;B358&amp;C358</f>
        <v/>
      </c>
      <c r="E358" s="227" t="n">
        <v>0</v>
      </c>
    </row>
    <row r="359">
      <c r="A359" s="61" t="inlineStr">
        <is>
          <t>DE201</t>
        </is>
      </c>
      <c r="B359" s="61" t="inlineStr">
        <is>
          <t>Major</t>
        </is>
      </c>
      <c r="C359" s="61" t="inlineStr">
        <is>
          <t>Labor</t>
        </is>
      </c>
      <c r="D359" s="61">
        <f>A359&amp;B359&amp;C359</f>
        <v/>
      </c>
      <c r="E359" s="227" t="n">
        <v>0.5</v>
      </c>
    </row>
    <row r="360">
      <c r="A360" s="61" t="inlineStr">
        <is>
          <t>DE201</t>
        </is>
      </c>
      <c r="B360" s="61" t="inlineStr">
        <is>
          <t>Minor</t>
        </is>
      </c>
      <c r="C360" s="61" t="inlineStr">
        <is>
          <t>Labor</t>
        </is>
      </c>
      <c r="D360" s="61">
        <f>A360&amp;B360&amp;C360</f>
        <v/>
      </c>
      <c r="E360" s="227" t="n">
        <v>1</v>
      </c>
    </row>
    <row r="361">
      <c r="A361" s="61" t="inlineStr">
        <is>
          <t>DE201</t>
        </is>
      </c>
      <c r="B361" s="61" t="inlineStr">
        <is>
          <t>N/A</t>
        </is>
      </c>
      <c r="C361" s="61" t="inlineStr">
        <is>
          <t>Labor</t>
        </is>
      </c>
      <c r="D361" s="61">
        <f>A361&amp;B361&amp;C361</f>
        <v/>
      </c>
      <c r="E361" s="227" t="n">
        <v>2</v>
      </c>
    </row>
    <row r="362">
      <c r="A362" s="61" t="inlineStr">
        <is>
          <t>DE301</t>
        </is>
      </c>
      <c r="B362" s="61" t="inlineStr">
        <is>
          <t>Conformance</t>
        </is>
      </c>
      <c r="C362" s="61" t="inlineStr">
        <is>
          <t>Labor</t>
        </is>
      </c>
      <c r="D362" s="61">
        <f>A362&amp;B362&amp;C362</f>
        <v/>
      </c>
      <c r="E362" s="227" t="n">
        <v>2</v>
      </c>
    </row>
    <row r="363">
      <c r="A363" s="61" t="inlineStr">
        <is>
          <t>DE301</t>
        </is>
      </c>
      <c r="B363" s="61" t="inlineStr">
        <is>
          <t>Priority</t>
        </is>
      </c>
      <c r="C363" s="61" t="inlineStr">
        <is>
          <t>Labor</t>
        </is>
      </c>
      <c r="D363" s="61">
        <f>A363&amp;B363&amp;C363</f>
        <v/>
      </c>
      <c r="E363" s="227" t="n">
        <v>0</v>
      </c>
    </row>
    <row r="364">
      <c r="A364" s="61" t="inlineStr">
        <is>
          <t>DE301</t>
        </is>
      </c>
      <c r="B364" s="61" t="inlineStr">
        <is>
          <t>Major</t>
        </is>
      </c>
      <c r="C364" s="61" t="inlineStr">
        <is>
          <t>Labor</t>
        </is>
      </c>
      <c r="D364" s="61">
        <f>A364&amp;B364&amp;C364</f>
        <v/>
      </c>
      <c r="E364" s="227" t="n">
        <v>0.5</v>
      </c>
    </row>
    <row r="365">
      <c r="A365" s="61" t="inlineStr">
        <is>
          <t>DE301</t>
        </is>
      </c>
      <c r="B365" s="61" t="inlineStr">
        <is>
          <t>Minor</t>
        </is>
      </c>
      <c r="C365" s="61" t="inlineStr">
        <is>
          <t>Labor</t>
        </is>
      </c>
      <c r="D365" s="61">
        <f>A365&amp;B365&amp;C365</f>
        <v/>
      </c>
      <c r="E365" s="227" t="n">
        <v>1</v>
      </c>
    </row>
    <row r="366">
      <c r="A366" s="61" t="inlineStr">
        <is>
          <t>DE301</t>
        </is>
      </c>
      <c r="B366" s="61" t="inlineStr">
        <is>
          <t>N/A</t>
        </is>
      </c>
      <c r="C366" s="61" t="inlineStr">
        <is>
          <t>Labor</t>
        </is>
      </c>
      <c r="D366" s="61">
        <f>A366&amp;B366&amp;C366</f>
        <v/>
      </c>
      <c r="E366" s="227" t="n">
        <v>2</v>
      </c>
    </row>
    <row r="367">
      <c r="A367" s="61" t="inlineStr">
        <is>
          <t>DE401</t>
        </is>
      </c>
      <c r="B367" s="61" t="inlineStr">
        <is>
          <t>Conformance</t>
        </is>
      </c>
      <c r="C367" s="61" t="inlineStr">
        <is>
          <t>Labor</t>
        </is>
      </c>
      <c r="D367" s="61">
        <f>A367&amp;B367&amp;C367</f>
        <v/>
      </c>
      <c r="E367" s="227" t="n">
        <v>2</v>
      </c>
    </row>
    <row r="368">
      <c r="A368" s="61" t="inlineStr">
        <is>
          <t>DE401</t>
        </is>
      </c>
      <c r="B368" s="61" t="inlineStr">
        <is>
          <t>Priority</t>
        </is>
      </c>
      <c r="C368" s="61" t="inlineStr">
        <is>
          <t>Labor</t>
        </is>
      </c>
      <c r="D368" s="61">
        <f>A368&amp;B368&amp;C368</f>
        <v/>
      </c>
      <c r="E368" s="227" t="n">
        <v>0</v>
      </c>
    </row>
    <row r="369">
      <c r="A369" s="61" t="inlineStr">
        <is>
          <t>DE401</t>
        </is>
      </c>
      <c r="B369" s="61" t="inlineStr">
        <is>
          <t>Major</t>
        </is>
      </c>
      <c r="C369" s="61" t="inlineStr">
        <is>
          <t>Labor</t>
        </is>
      </c>
      <c r="D369" s="61">
        <f>A369&amp;B369&amp;C369</f>
        <v/>
      </c>
      <c r="E369" s="227" t="n">
        <v>0.5</v>
      </c>
    </row>
    <row r="370">
      <c r="A370" s="61" t="inlineStr">
        <is>
          <t>DE401</t>
        </is>
      </c>
      <c r="B370" s="61" t="inlineStr">
        <is>
          <t>Minor</t>
        </is>
      </c>
      <c r="C370" s="61" t="inlineStr">
        <is>
          <t>Labor</t>
        </is>
      </c>
      <c r="D370" s="61">
        <f>A370&amp;B370&amp;C370</f>
        <v/>
      </c>
      <c r="E370" s="227" t="n">
        <v>1</v>
      </c>
    </row>
    <row r="371">
      <c r="A371" s="61" t="inlineStr">
        <is>
          <t>DE401</t>
        </is>
      </c>
      <c r="B371" s="61" t="inlineStr">
        <is>
          <t>N/A</t>
        </is>
      </c>
      <c r="C371" s="61" t="inlineStr">
        <is>
          <t>Labor</t>
        </is>
      </c>
      <c r="D371" s="61">
        <f>A371&amp;B371&amp;C371</f>
        <v/>
      </c>
      <c r="E371" s="227" t="n">
        <v>2</v>
      </c>
    </row>
    <row r="372">
      <c r="A372" s="61" t="inlineStr">
        <is>
          <t>DE501</t>
        </is>
      </c>
      <c r="B372" s="61" t="inlineStr">
        <is>
          <t>Conformance</t>
        </is>
      </c>
      <c r="C372" s="61" t="inlineStr">
        <is>
          <t>Labor</t>
        </is>
      </c>
      <c r="D372" s="61">
        <f>A372&amp;B372&amp;C372</f>
        <v/>
      </c>
      <c r="E372" s="227" t="n">
        <v>2</v>
      </c>
    </row>
    <row r="373">
      <c r="A373" s="61" t="inlineStr">
        <is>
          <t>DE501</t>
        </is>
      </c>
      <c r="B373" s="61" t="inlineStr">
        <is>
          <t>Priority</t>
        </is>
      </c>
      <c r="C373" s="61" t="inlineStr">
        <is>
          <t>Labor</t>
        </is>
      </c>
      <c r="D373" s="61">
        <f>A373&amp;B373&amp;C373</f>
        <v/>
      </c>
      <c r="E373" s="227" t="n">
        <v>0</v>
      </c>
    </row>
    <row r="374">
      <c r="A374" s="61" t="inlineStr">
        <is>
          <t>DE501</t>
        </is>
      </c>
      <c r="B374" s="61" t="inlineStr">
        <is>
          <t>Major</t>
        </is>
      </c>
      <c r="C374" s="61" t="inlineStr">
        <is>
          <t>Labor</t>
        </is>
      </c>
      <c r="D374" s="61">
        <f>A374&amp;B374&amp;C374</f>
        <v/>
      </c>
      <c r="E374" s="227" t="n">
        <v>0.5</v>
      </c>
    </row>
    <row r="375">
      <c r="A375" s="61" t="inlineStr">
        <is>
          <t>DE501</t>
        </is>
      </c>
      <c r="B375" s="61" t="inlineStr">
        <is>
          <t>Minor</t>
        </is>
      </c>
      <c r="C375" s="61" t="inlineStr">
        <is>
          <t>Labor</t>
        </is>
      </c>
      <c r="D375" s="61">
        <f>A375&amp;B375&amp;C375</f>
        <v/>
      </c>
      <c r="E375" s="227" t="n">
        <v>1</v>
      </c>
    </row>
    <row r="376">
      <c r="A376" s="61" t="inlineStr">
        <is>
          <t>DE501</t>
        </is>
      </c>
      <c r="B376" s="61" t="inlineStr">
        <is>
          <t>N/A</t>
        </is>
      </c>
      <c r="C376" s="61" t="inlineStr">
        <is>
          <t>Labor</t>
        </is>
      </c>
      <c r="D376" s="61">
        <f>A376&amp;B376&amp;C376</f>
        <v/>
      </c>
      <c r="E376" s="227" t="n">
        <v>2</v>
      </c>
    </row>
    <row r="377">
      <c r="A377" s="61" t="inlineStr">
        <is>
          <t>DE601</t>
        </is>
      </c>
      <c r="B377" s="61" t="inlineStr">
        <is>
          <t>Conformance</t>
        </is>
      </c>
      <c r="C377" s="61" t="inlineStr">
        <is>
          <t>Labor</t>
        </is>
      </c>
      <c r="D377" s="61">
        <f>A377&amp;B377&amp;C377</f>
        <v/>
      </c>
      <c r="E377" s="227" t="n">
        <v>2</v>
      </c>
    </row>
    <row r="378">
      <c r="A378" s="61" t="inlineStr">
        <is>
          <t>DE601</t>
        </is>
      </c>
      <c r="B378" s="61" t="inlineStr">
        <is>
          <t>Priority</t>
        </is>
      </c>
      <c r="C378" s="61" t="inlineStr">
        <is>
          <t>Labor</t>
        </is>
      </c>
      <c r="D378" s="61">
        <f>A378&amp;B378&amp;C378</f>
        <v/>
      </c>
      <c r="E378" s="227" t="n">
        <v>0</v>
      </c>
    </row>
    <row r="379">
      <c r="A379" s="61" t="inlineStr">
        <is>
          <t>DE601</t>
        </is>
      </c>
      <c r="B379" s="61" t="inlineStr">
        <is>
          <t>Major</t>
        </is>
      </c>
      <c r="C379" s="61" t="inlineStr">
        <is>
          <t>Labor</t>
        </is>
      </c>
      <c r="D379" s="61">
        <f>A379&amp;B379&amp;C379</f>
        <v/>
      </c>
      <c r="E379" s="227" t="n">
        <v>0.5</v>
      </c>
    </row>
    <row r="380">
      <c r="A380" s="61" t="inlineStr">
        <is>
          <t>DE601</t>
        </is>
      </c>
      <c r="B380" s="61" t="inlineStr">
        <is>
          <t>Minor</t>
        </is>
      </c>
      <c r="C380" s="61" t="inlineStr">
        <is>
          <t>Labor</t>
        </is>
      </c>
      <c r="D380" s="61">
        <f>A380&amp;B380&amp;C380</f>
        <v/>
      </c>
      <c r="E380" s="227" t="n">
        <v>1</v>
      </c>
    </row>
    <row r="381">
      <c r="A381" s="61" t="inlineStr">
        <is>
          <t>DE601</t>
        </is>
      </c>
      <c r="B381" s="61" t="inlineStr">
        <is>
          <t>N/A</t>
        </is>
      </c>
      <c r="C381" s="61" t="inlineStr">
        <is>
          <t>Labor</t>
        </is>
      </c>
      <c r="D381" s="61">
        <f>A381&amp;B381&amp;C381</f>
        <v/>
      </c>
      <c r="E381" s="227" t="n">
        <v>2</v>
      </c>
    </row>
    <row r="382">
      <c r="A382" s="61" t="inlineStr">
        <is>
          <t>DM101</t>
        </is>
      </c>
      <c r="B382" s="61" t="inlineStr">
        <is>
          <t>Conformance</t>
        </is>
      </c>
      <c r="C382" s="61" t="inlineStr">
        <is>
          <t>Labor</t>
        </is>
      </c>
      <c r="D382" s="61">
        <f>A382&amp;B382&amp;C382</f>
        <v/>
      </c>
      <c r="E382" s="227" t="n">
        <v>0.5</v>
      </c>
    </row>
    <row r="383">
      <c r="A383" s="61" t="inlineStr">
        <is>
          <t>DM101</t>
        </is>
      </c>
      <c r="B383" s="61" t="inlineStr">
        <is>
          <t>Priority</t>
        </is>
      </c>
      <c r="C383" s="61" t="inlineStr">
        <is>
          <t>Labor</t>
        </is>
      </c>
      <c r="D383" s="61">
        <f>A383&amp;B383&amp;C383</f>
        <v/>
      </c>
      <c r="E383" s="227" t="n">
        <v>0</v>
      </c>
    </row>
    <row r="384">
      <c r="A384" s="61" t="inlineStr">
        <is>
          <t>DM101</t>
        </is>
      </c>
      <c r="B384" s="61" t="inlineStr">
        <is>
          <t>Major</t>
        </is>
      </c>
      <c r="C384" s="61" t="inlineStr">
        <is>
          <t>Labor</t>
        </is>
      </c>
      <c r="D384" s="61">
        <f>A384&amp;B384&amp;C384</f>
        <v/>
      </c>
      <c r="E384" s="227" t="n">
        <v>0.1</v>
      </c>
    </row>
    <row r="385">
      <c r="A385" s="61" t="inlineStr">
        <is>
          <t>DM101</t>
        </is>
      </c>
      <c r="B385" s="61" t="inlineStr">
        <is>
          <t>Minor</t>
        </is>
      </c>
      <c r="C385" s="61" t="inlineStr">
        <is>
          <t>Labor</t>
        </is>
      </c>
      <c r="D385" s="61">
        <f>A385&amp;B385&amp;C385</f>
        <v/>
      </c>
      <c r="E385" s="227" t="n">
        <v>0.3</v>
      </c>
    </row>
    <row r="386">
      <c r="A386" s="61" t="inlineStr">
        <is>
          <t>DM101</t>
        </is>
      </c>
      <c r="B386" s="61" t="inlineStr">
        <is>
          <t>N/A</t>
        </is>
      </c>
      <c r="C386" s="61" t="inlineStr">
        <is>
          <t>Labor</t>
        </is>
      </c>
      <c r="D386" s="61">
        <f>A386&amp;B386&amp;C386</f>
        <v/>
      </c>
      <c r="E386" s="227" t="n">
        <v>0.5</v>
      </c>
    </row>
    <row r="387">
      <c r="A387" s="61" t="inlineStr">
        <is>
          <t>DM102</t>
        </is>
      </c>
      <c r="B387" s="61" t="inlineStr">
        <is>
          <t>Conformance</t>
        </is>
      </c>
      <c r="C387" s="61" t="inlineStr">
        <is>
          <t>Labor</t>
        </is>
      </c>
      <c r="D387" s="61">
        <f>A387&amp;B387&amp;C387</f>
        <v/>
      </c>
      <c r="E387" s="227" t="n">
        <v>0.5</v>
      </c>
    </row>
    <row r="388">
      <c r="A388" s="61" t="inlineStr">
        <is>
          <t>DM102</t>
        </is>
      </c>
      <c r="B388" s="61" t="inlineStr">
        <is>
          <t>Priority</t>
        </is>
      </c>
      <c r="C388" s="61" t="inlineStr">
        <is>
          <t>Labor</t>
        </is>
      </c>
      <c r="D388" s="61">
        <f>A388&amp;B388&amp;C388</f>
        <v/>
      </c>
      <c r="E388" s="227" t="n">
        <v>0</v>
      </c>
    </row>
    <row r="389">
      <c r="A389" s="61" t="inlineStr">
        <is>
          <t>DM102</t>
        </is>
      </c>
      <c r="B389" s="61" t="inlineStr">
        <is>
          <t>Major</t>
        </is>
      </c>
      <c r="C389" s="61" t="inlineStr">
        <is>
          <t>Labor</t>
        </is>
      </c>
      <c r="D389" s="61">
        <f>A389&amp;B389&amp;C389</f>
        <v/>
      </c>
      <c r="E389" s="227" t="n">
        <v>0.1</v>
      </c>
    </row>
    <row r="390">
      <c r="A390" s="61" t="inlineStr">
        <is>
          <t>DM102</t>
        </is>
      </c>
      <c r="B390" s="61" t="inlineStr">
        <is>
          <t>Minor</t>
        </is>
      </c>
      <c r="C390" s="61" t="inlineStr">
        <is>
          <t>Labor</t>
        </is>
      </c>
      <c r="D390" s="61">
        <f>A390&amp;B390&amp;C390</f>
        <v/>
      </c>
      <c r="E390" s="227" t="n">
        <v>0.3</v>
      </c>
    </row>
    <row r="391">
      <c r="A391" s="61" t="inlineStr">
        <is>
          <t>DM102</t>
        </is>
      </c>
      <c r="B391" s="61" t="inlineStr">
        <is>
          <t>N/A</t>
        </is>
      </c>
      <c r="C391" s="61" t="inlineStr">
        <is>
          <t>Labor</t>
        </is>
      </c>
      <c r="D391" s="61">
        <f>A391&amp;B391&amp;C391</f>
        <v/>
      </c>
      <c r="E391" s="227" t="n">
        <v>0.5</v>
      </c>
    </row>
    <row r="392">
      <c r="A392" s="61" t="inlineStr">
        <is>
          <t>DM201</t>
        </is>
      </c>
      <c r="B392" s="61" t="inlineStr">
        <is>
          <t>Conformance</t>
        </is>
      </c>
      <c r="C392" s="61" t="inlineStr">
        <is>
          <t>Labor</t>
        </is>
      </c>
      <c r="D392" s="61">
        <f>A392&amp;B392&amp;C392</f>
        <v/>
      </c>
      <c r="E392" s="227" t="n">
        <v>0.5</v>
      </c>
    </row>
    <row r="393">
      <c r="A393" s="61" t="inlineStr">
        <is>
          <t>DM201</t>
        </is>
      </c>
      <c r="B393" s="61" t="inlineStr">
        <is>
          <t>Priority</t>
        </is>
      </c>
      <c r="C393" s="61" t="inlineStr">
        <is>
          <t>Labor</t>
        </is>
      </c>
      <c r="D393" s="61">
        <f>A393&amp;B393&amp;C393</f>
        <v/>
      </c>
      <c r="E393" s="227" t="n">
        <v>0</v>
      </c>
    </row>
    <row r="394">
      <c r="A394" s="61" t="inlineStr">
        <is>
          <t>DM201</t>
        </is>
      </c>
      <c r="B394" s="61" t="inlineStr">
        <is>
          <t>Major</t>
        </is>
      </c>
      <c r="C394" s="61" t="inlineStr">
        <is>
          <t>Labor</t>
        </is>
      </c>
      <c r="D394" s="61">
        <f>A394&amp;B394&amp;C394</f>
        <v/>
      </c>
      <c r="E394" s="227" t="n">
        <v>0.1</v>
      </c>
    </row>
    <row r="395">
      <c r="A395" s="61" t="inlineStr">
        <is>
          <t>DM201</t>
        </is>
      </c>
      <c r="B395" s="61" t="inlineStr">
        <is>
          <t>Minor</t>
        </is>
      </c>
      <c r="C395" s="61" t="inlineStr">
        <is>
          <t>Labor</t>
        </is>
      </c>
      <c r="D395" s="61">
        <f>A395&amp;B395&amp;C395</f>
        <v/>
      </c>
      <c r="E395" s="227" t="n">
        <v>0.3</v>
      </c>
    </row>
    <row r="396">
      <c r="A396" s="61" t="inlineStr">
        <is>
          <t>DM201</t>
        </is>
      </c>
      <c r="B396" s="61" t="inlineStr">
        <is>
          <t>N/A</t>
        </is>
      </c>
      <c r="C396" s="61" t="inlineStr">
        <is>
          <t>Labor</t>
        </is>
      </c>
      <c r="D396" s="61">
        <f>A396&amp;B396&amp;C396</f>
        <v/>
      </c>
      <c r="E396" s="227" t="n">
        <v>0.5</v>
      </c>
    </row>
    <row r="397">
      <c r="A397" s="61" t="inlineStr">
        <is>
          <t>DM202</t>
        </is>
      </c>
      <c r="B397" s="61" t="inlineStr">
        <is>
          <t>Conformance</t>
        </is>
      </c>
      <c r="C397" s="61" t="inlineStr">
        <is>
          <t>Labor</t>
        </is>
      </c>
      <c r="D397" s="61">
        <f>A397&amp;B397&amp;C397</f>
        <v/>
      </c>
      <c r="E397" s="227" t="n">
        <v>0.5</v>
      </c>
    </row>
    <row r="398">
      <c r="A398" s="61" t="inlineStr">
        <is>
          <t>DM202</t>
        </is>
      </c>
      <c r="B398" s="61" t="inlineStr">
        <is>
          <t>Priority</t>
        </is>
      </c>
      <c r="C398" s="61" t="inlineStr">
        <is>
          <t>Labor</t>
        </is>
      </c>
      <c r="D398" s="61">
        <f>A398&amp;B398&amp;C398</f>
        <v/>
      </c>
      <c r="E398" s="227" t="n">
        <v>0</v>
      </c>
    </row>
    <row r="399">
      <c r="A399" s="61" t="inlineStr">
        <is>
          <t>DM202</t>
        </is>
      </c>
      <c r="B399" s="61" t="inlineStr">
        <is>
          <t>Major</t>
        </is>
      </c>
      <c r="C399" s="61" t="inlineStr">
        <is>
          <t>Labor</t>
        </is>
      </c>
      <c r="D399" s="61">
        <f>A399&amp;B399&amp;C399</f>
        <v/>
      </c>
      <c r="E399" s="227" t="n">
        <v>0.1</v>
      </c>
    </row>
    <row r="400">
      <c r="A400" s="61" t="inlineStr">
        <is>
          <t>DM202</t>
        </is>
      </c>
      <c r="B400" s="61" t="inlineStr">
        <is>
          <t>Minor</t>
        </is>
      </c>
      <c r="C400" s="61" t="inlineStr">
        <is>
          <t>Labor</t>
        </is>
      </c>
      <c r="D400" s="61">
        <f>A400&amp;B400&amp;C400</f>
        <v/>
      </c>
      <c r="E400" s="227" t="n">
        <v>0.3</v>
      </c>
    </row>
    <row r="401">
      <c r="A401" s="61" t="inlineStr">
        <is>
          <t>DM202</t>
        </is>
      </c>
      <c r="B401" s="61" t="inlineStr">
        <is>
          <t>N/A</t>
        </is>
      </c>
      <c r="C401" s="61" t="inlineStr">
        <is>
          <t>Labor</t>
        </is>
      </c>
      <c r="D401" s="61">
        <f>A401&amp;B401&amp;C401</f>
        <v/>
      </c>
      <c r="E401" s="227" t="n">
        <v>0.5</v>
      </c>
    </row>
    <row r="402">
      <c r="A402" s="61" t="inlineStr">
        <is>
          <t>DM203</t>
        </is>
      </c>
      <c r="B402" s="61" t="inlineStr">
        <is>
          <t>Conformance</t>
        </is>
      </c>
      <c r="C402" s="61" t="inlineStr">
        <is>
          <t>Labor</t>
        </is>
      </c>
      <c r="D402" s="61">
        <f>A402&amp;B402&amp;C402</f>
        <v/>
      </c>
      <c r="E402" s="227" t="n">
        <v>0.5</v>
      </c>
    </row>
    <row r="403">
      <c r="A403" s="61" t="inlineStr">
        <is>
          <t>DM203</t>
        </is>
      </c>
      <c r="B403" s="61" t="inlineStr">
        <is>
          <t>Priority</t>
        </is>
      </c>
      <c r="C403" s="61" t="inlineStr">
        <is>
          <t>Labor</t>
        </is>
      </c>
      <c r="D403" s="61">
        <f>A403&amp;B403&amp;C403</f>
        <v/>
      </c>
      <c r="E403" s="227" t="n">
        <v>0</v>
      </c>
    </row>
    <row r="404">
      <c r="A404" s="61" t="inlineStr">
        <is>
          <t>DM203</t>
        </is>
      </c>
      <c r="B404" s="61" t="inlineStr">
        <is>
          <t>Major</t>
        </is>
      </c>
      <c r="C404" s="61" t="inlineStr">
        <is>
          <t>Labor</t>
        </is>
      </c>
      <c r="D404" s="61">
        <f>A404&amp;B404&amp;C404</f>
        <v/>
      </c>
      <c r="E404" s="227" t="n">
        <v>0.1</v>
      </c>
    </row>
    <row r="405">
      <c r="A405" s="61" t="inlineStr">
        <is>
          <t>DM203</t>
        </is>
      </c>
      <c r="B405" s="61" t="inlineStr">
        <is>
          <t>Minor</t>
        </is>
      </c>
      <c r="C405" s="61" t="inlineStr">
        <is>
          <t>Labor</t>
        </is>
      </c>
      <c r="D405" s="61">
        <f>A405&amp;B405&amp;C405</f>
        <v/>
      </c>
      <c r="E405" s="227" t="n">
        <v>0.3</v>
      </c>
    </row>
    <row r="406">
      <c r="A406" s="61" t="inlineStr">
        <is>
          <t>DM203</t>
        </is>
      </c>
      <c r="B406" s="61" t="inlineStr">
        <is>
          <t>N/A</t>
        </is>
      </c>
      <c r="C406" s="61" t="inlineStr">
        <is>
          <t>Labor</t>
        </is>
      </c>
      <c r="D406" s="61">
        <f>A406&amp;B406&amp;C406</f>
        <v/>
      </c>
      <c r="E406" s="227" t="n">
        <v>0.5</v>
      </c>
    </row>
    <row r="407">
      <c r="A407" s="61" t="inlineStr">
        <is>
          <t>DM301</t>
        </is>
      </c>
      <c r="B407" s="61" t="inlineStr">
        <is>
          <t>Conformance</t>
        </is>
      </c>
      <c r="C407" s="61" t="inlineStr">
        <is>
          <t>Labor</t>
        </is>
      </c>
      <c r="D407" s="61">
        <f>A407&amp;B407&amp;C407</f>
        <v/>
      </c>
      <c r="E407" s="227" t="n">
        <v>0.5</v>
      </c>
    </row>
    <row r="408">
      <c r="A408" s="61" t="inlineStr">
        <is>
          <t>DM301</t>
        </is>
      </c>
      <c r="B408" s="61" t="inlineStr">
        <is>
          <t>Priority</t>
        </is>
      </c>
      <c r="C408" s="61" t="inlineStr">
        <is>
          <t>Labor</t>
        </is>
      </c>
      <c r="D408" s="61">
        <f>A408&amp;B408&amp;C408</f>
        <v/>
      </c>
      <c r="E408" s="227" t="n">
        <v>0</v>
      </c>
    </row>
    <row r="409">
      <c r="A409" s="61" t="inlineStr">
        <is>
          <t>DM301</t>
        </is>
      </c>
      <c r="B409" s="61" t="inlineStr">
        <is>
          <t>Major</t>
        </is>
      </c>
      <c r="C409" s="61" t="inlineStr">
        <is>
          <t>Labor</t>
        </is>
      </c>
      <c r="D409" s="61">
        <f>A409&amp;B409&amp;C409</f>
        <v/>
      </c>
      <c r="E409" s="227" t="n">
        <v>0.1</v>
      </c>
    </row>
    <row r="410">
      <c r="A410" s="61" t="inlineStr">
        <is>
          <t>DM301</t>
        </is>
      </c>
      <c r="B410" s="61" t="inlineStr">
        <is>
          <t>Minor</t>
        </is>
      </c>
      <c r="C410" s="61" t="inlineStr">
        <is>
          <t>Labor</t>
        </is>
      </c>
      <c r="D410" s="61">
        <f>A410&amp;B410&amp;C410</f>
        <v/>
      </c>
      <c r="E410" s="227" t="n">
        <v>0.3</v>
      </c>
    </row>
    <row r="411">
      <c r="A411" s="61" t="inlineStr">
        <is>
          <t>DM301</t>
        </is>
      </c>
      <c r="B411" s="61" t="inlineStr">
        <is>
          <t>N/A</t>
        </is>
      </c>
      <c r="C411" s="61" t="inlineStr">
        <is>
          <t>Labor</t>
        </is>
      </c>
      <c r="D411" s="61">
        <f>A411&amp;B411&amp;C411</f>
        <v/>
      </c>
      <c r="E411" s="227" t="n">
        <v>0.5</v>
      </c>
    </row>
    <row r="412">
      <c r="A412" s="61" t="inlineStr">
        <is>
          <t>DM302</t>
        </is>
      </c>
      <c r="B412" s="61" t="inlineStr">
        <is>
          <t>Conformance</t>
        </is>
      </c>
      <c r="C412" s="61" t="inlineStr">
        <is>
          <t>Labor</t>
        </is>
      </c>
      <c r="D412" s="61">
        <f>A412&amp;B412&amp;C412</f>
        <v/>
      </c>
      <c r="E412" s="227" t="n">
        <v>0.5</v>
      </c>
    </row>
    <row r="413">
      <c r="A413" s="61" t="inlineStr">
        <is>
          <t>DM302</t>
        </is>
      </c>
      <c r="B413" s="61" t="inlineStr">
        <is>
          <t>Priority</t>
        </is>
      </c>
      <c r="C413" s="61" t="inlineStr">
        <is>
          <t>Labor</t>
        </is>
      </c>
      <c r="D413" s="61">
        <f>A413&amp;B413&amp;C413</f>
        <v/>
      </c>
      <c r="E413" s="227" t="n">
        <v>0</v>
      </c>
    </row>
    <row r="414">
      <c r="A414" s="61" t="inlineStr">
        <is>
          <t>DM302</t>
        </is>
      </c>
      <c r="B414" s="61" t="inlineStr">
        <is>
          <t>Major</t>
        </is>
      </c>
      <c r="C414" s="61" t="inlineStr">
        <is>
          <t>Labor</t>
        </is>
      </c>
      <c r="D414" s="61">
        <f>A414&amp;B414&amp;C414</f>
        <v/>
      </c>
      <c r="E414" s="227" t="n">
        <v>0.1</v>
      </c>
    </row>
    <row r="415">
      <c r="A415" s="61" t="inlineStr">
        <is>
          <t>DM302</t>
        </is>
      </c>
      <c r="B415" s="61" t="inlineStr">
        <is>
          <t>Minor</t>
        </is>
      </c>
      <c r="C415" s="61" t="inlineStr">
        <is>
          <t>Labor</t>
        </is>
      </c>
      <c r="D415" s="61">
        <f>A415&amp;B415&amp;C415</f>
        <v/>
      </c>
      <c r="E415" s="227" t="n">
        <v>0.3</v>
      </c>
    </row>
    <row r="416">
      <c r="A416" s="61" t="inlineStr">
        <is>
          <t>DM302</t>
        </is>
      </c>
      <c r="B416" s="61" t="inlineStr">
        <is>
          <t>N/A</t>
        </is>
      </c>
      <c r="C416" s="61" t="inlineStr">
        <is>
          <t>Labor</t>
        </is>
      </c>
      <c r="D416" s="61">
        <f>A416&amp;B416&amp;C416</f>
        <v/>
      </c>
      <c r="E416" s="227" t="n">
        <v>0.5</v>
      </c>
    </row>
    <row r="417">
      <c r="A417" s="61" t="inlineStr">
        <is>
          <t>DM401</t>
        </is>
      </c>
      <c r="B417" s="61" t="inlineStr">
        <is>
          <t>Conformance</t>
        </is>
      </c>
      <c r="C417" s="61" t="inlineStr">
        <is>
          <t>Labor</t>
        </is>
      </c>
      <c r="D417" s="61">
        <f>A417&amp;B417&amp;C417</f>
        <v/>
      </c>
      <c r="E417" s="227" t="n">
        <v>0.5</v>
      </c>
    </row>
    <row r="418">
      <c r="A418" s="61" t="inlineStr">
        <is>
          <t>DM401</t>
        </is>
      </c>
      <c r="B418" s="61" t="inlineStr">
        <is>
          <t>Priority</t>
        </is>
      </c>
      <c r="C418" s="61" t="inlineStr">
        <is>
          <t>Labor</t>
        </is>
      </c>
      <c r="D418" s="61">
        <f>A418&amp;B418&amp;C418</f>
        <v/>
      </c>
      <c r="E418" s="227" t="n">
        <v>0</v>
      </c>
    </row>
    <row r="419">
      <c r="A419" s="61" t="inlineStr">
        <is>
          <t>DM401</t>
        </is>
      </c>
      <c r="B419" s="61" t="inlineStr">
        <is>
          <t>Major</t>
        </is>
      </c>
      <c r="C419" s="61" t="inlineStr">
        <is>
          <t>Labor</t>
        </is>
      </c>
      <c r="D419" s="61">
        <f>A419&amp;B419&amp;C419</f>
        <v/>
      </c>
      <c r="E419" s="227" t="n">
        <v>0.1</v>
      </c>
    </row>
    <row r="420">
      <c r="A420" s="61" t="inlineStr">
        <is>
          <t>DM401</t>
        </is>
      </c>
      <c r="B420" s="61" t="inlineStr">
        <is>
          <t>Minor</t>
        </is>
      </c>
      <c r="C420" s="61" t="inlineStr">
        <is>
          <t>Labor</t>
        </is>
      </c>
      <c r="D420" s="61">
        <f>A420&amp;B420&amp;C420</f>
        <v/>
      </c>
      <c r="E420" s="227" t="n">
        <v>0.3</v>
      </c>
    </row>
    <row r="421">
      <c r="A421" s="61" t="inlineStr">
        <is>
          <t>DM401</t>
        </is>
      </c>
      <c r="B421" s="61" t="inlineStr">
        <is>
          <t>N/A</t>
        </is>
      </c>
      <c r="C421" s="61" t="inlineStr">
        <is>
          <t>Labor</t>
        </is>
      </c>
      <c r="D421" s="61">
        <f>A421&amp;B421&amp;C421</f>
        <v/>
      </c>
      <c r="E421" s="227" t="n">
        <v>0.5</v>
      </c>
    </row>
    <row r="422">
      <c r="A422" s="61" t="inlineStr">
        <is>
          <t>DM402</t>
        </is>
      </c>
      <c r="B422" s="61" t="inlineStr">
        <is>
          <t>Conformance</t>
        </is>
      </c>
      <c r="C422" s="61" t="inlineStr">
        <is>
          <t>Labor</t>
        </is>
      </c>
      <c r="D422" s="61">
        <f>A422&amp;B422&amp;C422</f>
        <v/>
      </c>
      <c r="E422" s="227" t="n">
        <v>0.5</v>
      </c>
    </row>
    <row r="423">
      <c r="A423" s="61" t="inlineStr">
        <is>
          <t>DM402</t>
        </is>
      </c>
      <c r="B423" s="61" t="inlineStr">
        <is>
          <t>Priority</t>
        </is>
      </c>
      <c r="C423" s="61" t="inlineStr">
        <is>
          <t>Labor</t>
        </is>
      </c>
      <c r="D423" s="61">
        <f>A423&amp;B423&amp;C423</f>
        <v/>
      </c>
      <c r="E423" s="227" t="n">
        <v>0</v>
      </c>
    </row>
    <row r="424">
      <c r="A424" s="61" t="inlineStr">
        <is>
          <t>DM402</t>
        </is>
      </c>
      <c r="B424" s="61" t="inlineStr">
        <is>
          <t>Major</t>
        </is>
      </c>
      <c r="C424" s="61" t="inlineStr">
        <is>
          <t>Labor</t>
        </is>
      </c>
      <c r="D424" s="61">
        <f>A424&amp;B424&amp;C424</f>
        <v/>
      </c>
      <c r="E424" s="227" t="n">
        <v>0.1</v>
      </c>
    </row>
    <row r="425">
      <c r="A425" s="61" t="inlineStr">
        <is>
          <t>DM402</t>
        </is>
      </c>
      <c r="B425" s="61" t="inlineStr">
        <is>
          <t>Minor</t>
        </is>
      </c>
      <c r="C425" s="61" t="inlineStr">
        <is>
          <t>Labor</t>
        </is>
      </c>
      <c r="D425" s="61">
        <f>A425&amp;B425&amp;C425</f>
        <v/>
      </c>
      <c r="E425" s="227" t="n">
        <v>0.3</v>
      </c>
    </row>
    <row r="426">
      <c r="A426" s="61" t="inlineStr">
        <is>
          <t>DM402</t>
        </is>
      </c>
      <c r="B426" s="61" t="inlineStr">
        <is>
          <t>N/A</t>
        </is>
      </c>
      <c r="C426" s="61" t="inlineStr">
        <is>
          <t>Labor</t>
        </is>
      </c>
      <c r="D426" s="61">
        <f>A426&amp;B426&amp;C426</f>
        <v/>
      </c>
      <c r="E426" s="227" t="n">
        <v>0.5</v>
      </c>
    </row>
    <row r="427">
      <c r="A427" s="61" t="inlineStr">
        <is>
          <t>DM403</t>
        </is>
      </c>
      <c r="B427" s="61" t="inlineStr">
        <is>
          <t>Conformance</t>
        </is>
      </c>
      <c r="C427" s="61" t="inlineStr">
        <is>
          <t>Labor</t>
        </is>
      </c>
      <c r="D427" s="61">
        <f>A427&amp;B427&amp;C427</f>
        <v/>
      </c>
      <c r="E427" s="227" t="n">
        <v>0.5</v>
      </c>
    </row>
    <row r="428">
      <c r="A428" s="61" t="inlineStr">
        <is>
          <t>DM403</t>
        </is>
      </c>
      <c r="B428" s="61" t="inlineStr">
        <is>
          <t>Priority</t>
        </is>
      </c>
      <c r="C428" s="61" t="inlineStr">
        <is>
          <t>Labor</t>
        </is>
      </c>
      <c r="D428" s="61">
        <f>A428&amp;B428&amp;C428</f>
        <v/>
      </c>
      <c r="E428" s="227" t="n">
        <v>0</v>
      </c>
    </row>
    <row r="429">
      <c r="A429" s="61" t="inlineStr">
        <is>
          <t>DM403</t>
        </is>
      </c>
      <c r="B429" s="61" t="inlineStr">
        <is>
          <t>Major</t>
        </is>
      </c>
      <c r="C429" s="61" t="inlineStr">
        <is>
          <t>Labor</t>
        </is>
      </c>
      <c r="D429" s="61">
        <f>A429&amp;B429&amp;C429</f>
        <v/>
      </c>
      <c r="E429" s="227" t="n">
        <v>0.1</v>
      </c>
    </row>
    <row r="430">
      <c r="A430" s="61" t="inlineStr">
        <is>
          <t>DM403</t>
        </is>
      </c>
      <c r="B430" s="61" t="inlineStr">
        <is>
          <t>Minor</t>
        </is>
      </c>
      <c r="C430" s="61" t="inlineStr">
        <is>
          <t>Labor</t>
        </is>
      </c>
      <c r="D430" s="61">
        <f>A430&amp;B430&amp;C430</f>
        <v/>
      </c>
      <c r="E430" s="227" t="n">
        <v>0.3</v>
      </c>
    </row>
    <row r="431">
      <c r="A431" s="61" t="inlineStr">
        <is>
          <t>DM403</t>
        </is>
      </c>
      <c r="B431" s="61" t="inlineStr">
        <is>
          <t>N/A</t>
        </is>
      </c>
      <c r="C431" s="61" t="inlineStr">
        <is>
          <t>Labor</t>
        </is>
      </c>
      <c r="D431" s="61">
        <f>A431&amp;B431&amp;C431</f>
        <v/>
      </c>
      <c r="E431" s="227" t="n">
        <v>0.5</v>
      </c>
    </row>
    <row r="432">
      <c r="A432" s="61" t="inlineStr">
        <is>
          <t>ES101</t>
        </is>
      </c>
      <c r="B432" s="61" t="inlineStr">
        <is>
          <t>Conformance</t>
        </is>
      </c>
      <c r="C432" s="61" t="inlineStr">
        <is>
          <t>Labor</t>
        </is>
      </c>
      <c r="D432" s="61">
        <f>A432&amp;B432&amp;C432</f>
        <v/>
      </c>
      <c r="E432" s="227" t="n">
        <v>1</v>
      </c>
    </row>
    <row r="433">
      <c r="A433" s="61" t="inlineStr">
        <is>
          <t>ES101</t>
        </is>
      </c>
      <c r="B433" s="61" t="inlineStr">
        <is>
          <t>Priority</t>
        </is>
      </c>
      <c r="C433" s="61" t="inlineStr">
        <is>
          <t>Labor</t>
        </is>
      </c>
      <c r="D433" s="61">
        <f>A433&amp;B433&amp;C433</f>
        <v/>
      </c>
      <c r="E433" s="227" t="n">
        <v>0</v>
      </c>
    </row>
    <row r="434">
      <c r="A434" s="61" t="inlineStr">
        <is>
          <t>ES101</t>
        </is>
      </c>
      <c r="B434" s="61" t="inlineStr">
        <is>
          <t>Major</t>
        </is>
      </c>
      <c r="C434" s="61" t="inlineStr">
        <is>
          <t>Labor</t>
        </is>
      </c>
      <c r="D434" s="61">
        <f>A434&amp;B434&amp;C434</f>
        <v/>
      </c>
      <c r="E434" s="227" t="n">
        <v>0.2</v>
      </c>
    </row>
    <row r="435">
      <c r="A435" s="61" t="inlineStr">
        <is>
          <t>ES101</t>
        </is>
      </c>
      <c r="B435" s="61" t="inlineStr">
        <is>
          <t>Minor</t>
        </is>
      </c>
      <c r="C435" s="61" t="inlineStr">
        <is>
          <t>Labor</t>
        </is>
      </c>
      <c r="D435" s="61">
        <f>A435&amp;B435&amp;C435</f>
        <v/>
      </c>
      <c r="E435" s="227" t="n">
        <v>0.5</v>
      </c>
    </row>
    <row r="436">
      <c r="A436" s="61" t="inlineStr">
        <is>
          <t>ES101</t>
        </is>
      </c>
      <c r="B436" s="61" t="inlineStr">
        <is>
          <t>N/A</t>
        </is>
      </c>
      <c r="C436" s="61" t="inlineStr">
        <is>
          <t>Labor</t>
        </is>
      </c>
      <c r="D436" s="61">
        <f>A436&amp;B436&amp;C436</f>
        <v/>
      </c>
      <c r="E436" s="227" t="n">
        <v>1</v>
      </c>
    </row>
    <row r="437">
      <c r="A437" s="61" t="inlineStr">
        <is>
          <t>ES201</t>
        </is>
      </c>
      <c r="B437" s="61" t="inlineStr">
        <is>
          <t>Conformance</t>
        </is>
      </c>
      <c r="C437" s="61" t="inlineStr">
        <is>
          <t>Labor</t>
        </is>
      </c>
      <c r="D437" s="61">
        <f>A437&amp;B437&amp;C437</f>
        <v/>
      </c>
      <c r="E437" s="227" t="n">
        <v>1</v>
      </c>
    </row>
    <row r="438">
      <c r="A438" s="61" t="inlineStr">
        <is>
          <t>ES201</t>
        </is>
      </c>
      <c r="B438" s="61" t="inlineStr">
        <is>
          <t>Priority</t>
        </is>
      </c>
      <c r="C438" s="61" t="inlineStr">
        <is>
          <t>Labor</t>
        </is>
      </c>
      <c r="D438" s="61">
        <f>A438&amp;B438&amp;C438</f>
        <v/>
      </c>
      <c r="E438" s="227" t="n">
        <v>0</v>
      </c>
    </row>
    <row r="439">
      <c r="A439" s="61" t="inlineStr">
        <is>
          <t>ES201</t>
        </is>
      </c>
      <c r="B439" s="61" t="inlineStr">
        <is>
          <t>Major</t>
        </is>
      </c>
      <c r="C439" s="61" t="inlineStr">
        <is>
          <t>Labor</t>
        </is>
      </c>
      <c r="D439" s="61">
        <f>A439&amp;B439&amp;C439</f>
        <v/>
      </c>
      <c r="E439" s="227" t="n">
        <v>0.2</v>
      </c>
    </row>
    <row r="440">
      <c r="A440" s="61" t="inlineStr">
        <is>
          <t>ES201</t>
        </is>
      </c>
      <c r="B440" s="61" t="inlineStr">
        <is>
          <t>Minor</t>
        </is>
      </c>
      <c r="C440" s="61" t="inlineStr">
        <is>
          <t>Labor</t>
        </is>
      </c>
      <c r="D440" s="61">
        <f>A440&amp;B440&amp;C440</f>
        <v/>
      </c>
      <c r="E440" s="227" t="n">
        <v>0.5</v>
      </c>
    </row>
    <row r="441">
      <c r="A441" s="61" t="inlineStr">
        <is>
          <t>ES201</t>
        </is>
      </c>
      <c r="B441" s="61" t="inlineStr">
        <is>
          <t>N/A</t>
        </is>
      </c>
      <c r="C441" s="61" t="inlineStr">
        <is>
          <t>Labor</t>
        </is>
      </c>
      <c r="D441" s="61">
        <f>A441&amp;B441&amp;C441</f>
        <v/>
      </c>
      <c r="E441" s="227" t="n">
        <v>1</v>
      </c>
    </row>
    <row r="442">
      <c r="A442" s="61" t="inlineStr">
        <is>
          <t>ES301</t>
        </is>
      </c>
      <c r="B442" s="61" t="inlineStr">
        <is>
          <t>Conformance</t>
        </is>
      </c>
      <c r="C442" s="61" t="inlineStr">
        <is>
          <t>Labor</t>
        </is>
      </c>
      <c r="D442" s="61">
        <f>A442&amp;B442&amp;C442</f>
        <v/>
      </c>
      <c r="E442" s="227" t="n">
        <v>1</v>
      </c>
    </row>
    <row r="443">
      <c r="A443" s="61" t="inlineStr">
        <is>
          <t>ES301</t>
        </is>
      </c>
      <c r="B443" s="61" t="inlineStr">
        <is>
          <t>Priority</t>
        </is>
      </c>
      <c r="C443" s="61" t="inlineStr">
        <is>
          <t>Labor</t>
        </is>
      </c>
      <c r="D443" s="61">
        <f>A443&amp;B443&amp;C443</f>
        <v/>
      </c>
      <c r="E443" s="227" t="n">
        <v>0</v>
      </c>
    </row>
    <row r="444">
      <c r="A444" s="61" t="inlineStr">
        <is>
          <t>ES301</t>
        </is>
      </c>
      <c r="B444" s="61" t="inlineStr">
        <is>
          <t>Major</t>
        </is>
      </c>
      <c r="C444" s="61" t="inlineStr">
        <is>
          <t>Labor</t>
        </is>
      </c>
      <c r="D444" s="61">
        <f>A444&amp;B444&amp;C444</f>
        <v/>
      </c>
      <c r="E444" s="227" t="n">
        <v>0.2</v>
      </c>
    </row>
    <row r="445">
      <c r="A445" s="61" t="inlineStr">
        <is>
          <t>ES301</t>
        </is>
      </c>
      <c r="B445" s="61" t="inlineStr">
        <is>
          <t>Minor</t>
        </is>
      </c>
      <c r="C445" s="61" t="inlineStr">
        <is>
          <t>Labor</t>
        </is>
      </c>
      <c r="D445" s="61">
        <f>A445&amp;B445&amp;C445</f>
        <v/>
      </c>
      <c r="E445" s="227" t="n">
        <v>0.5</v>
      </c>
    </row>
    <row r="446">
      <c r="A446" s="61" t="inlineStr">
        <is>
          <t>ES301</t>
        </is>
      </c>
      <c r="B446" s="61" t="inlineStr">
        <is>
          <t>N/A</t>
        </is>
      </c>
      <c r="C446" s="61" t="inlineStr">
        <is>
          <t>Labor</t>
        </is>
      </c>
      <c r="D446" s="61">
        <f>A446&amp;B446&amp;C446</f>
        <v/>
      </c>
      <c r="E446" s="227" t="n">
        <v>1</v>
      </c>
    </row>
    <row r="447">
      <c r="A447" s="61" t="inlineStr">
        <is>
          <t>ES401</t>
        </is>
      </c>
      <c r="B447" s="61" t="inlineStr">
        <is>
          <t>Conformance</t>
        </is>
      </c>
      <c r="C447" s="61" t="inlineStr">
        <is>
          <t>Labor</t>
        </is>
      </c>
      <c r="D447" s="61">
        <f>A447&amp;B447&amp;C447</f>
        <v/>
      </c>
      <c r="E447" s="227" t="n">
        <v>2</v>
      </c>
    </row>
    <row r="448">
      <c r="A448" s="61" t="inlineStr">
        <is>
          <t>ES401</t>
        </is>
      </c>
      <c r="B448" s="61" t="inlineStr">
        <is>
          <t>Priority</t>
        </is>
      </c>
      <c r="C448" s="61" t="inlineStr">
        <is>
          <t>Labor</t>
        </is>
      </c>
      <c r="D448" s="61">
        <f>A448&amp;B448&amp;C448</f>
        <v/>
      </c>
      <c r="E448" s="227" t="n">
        <v>0</v>
      </c>
    </row>
    <row r="449">
      <c r="A449" s="61" t="inlineStr">
        <is>
          <t>ES401</t>
        </is>
      </c>
      <c r="B449" s="61" t="inlineStr">
        <is>
          <t>Major</t>
        </is>
      </c>
      <c r="C449" s="61" t="inlineStr">
        <is>
          <t>Labor</t>
        </is>
      </c>
      <c r="D449" s="61">
        <f>A449&amp;B449&amp;C449</f>
        <v/>
      </c>
      <c r="E449" s="227" t="n">
        <v>0.5</v>
      </c>
    </row>
    <row r="450">
      <c r="A450" s="61" t="inlineStr">
        <is>
          <t>ES401</t>
        </is>
      </c>
      <c r="B450" s="61" t="inlineStr">
        <is>
          <t>Minor</t>
        </is>
      </c>
      <c r="C450" s="61" t="inlineStr">
        <is>
          <t>Labor</t>
        </is>
      </c>
      <c r="D450" s="61">
        <f>A450&amp;B450&amp;C450</f>
        <v/>
      </c>
      <c r="E450" s="227" t="n">
        <v>1</v>
      </c>
    </row>
    <row r="451">
      <c r="A451" s="61" t="inlineStr">
        <is>
          <t>ES401</t>
        </is>
      </c>
      <c r="B451" s="61" t="inlineStr">
        <is>
          <t>N/A</t>
        </is>
      </c>
      <c r="C451" s="61" t="inlineStr">
        <is>
          <t>Labor</t>
        </is>
      </c>
      <c r="D451" s="61">
        <f>A451&amp;B451&amp;C451</f>
        <v/>
      </c>
      <c r="E451" s="227" t="n">
        <v>2</v>
      </c>
    </row>
    <row r="452">
      <c r="A452" s="61" t="inlineStr">
        <is>
          <t>ES402</t>
        </is>
      </c>
      <c r="B452" s="61" t="inlineStr">
        <is>
          <t>Conformance</t>
        </is>
      </c>
      <c r="C452" s="61" t="inlineStr">
        <is>
          <t>Labor</t>
        </is>
      </c>
      <c r="D452" s="61">
        <f>A452&amp;B452&amp;C452</f>
        <v/>
      </c>
      <c r="E452" s="227" t="n">
        <v>1</v>
      </c>
    </row>
    <row r="453">
      <c r="A453" s="61" t="inlineStr">
        <is>
          <t>ES402</t>
        </is>
      </c>
      <c r="B453" s="61" t="inlineStr">
        <is>
          <t>Priority</t>
        </is>
      </c>
      <c r="C453" s="61" t="inlineStr">
        <is>
          <t>Labor</t>
        </is>
      </c>
      <c r="D453" s="61">
        <f>A453&amp;B453&amp;C453</f>
        <v/>
      </c>
      <c r="E453" s="227" t="n">
        <v>0</v>
      </c>
    </row>
    <row r="454">
      <c r="A454" s="61" t="inlineStr">
        <is>
          <t>ES402</t>
        </is>
      </c>
      <c r="B454" s="61" t="inlineStr">
        <is>
          <t>Major</t>
        </is>
      </c>
      <c r="C454" s="61" t="inlineStr">
        <is>
          <t>Labor</t>
        </is>
      </c>
      <c r="D454" s="61">
        <f>A454&amp;B454&amp;C454</f>
        <v/>
      </c>
      <c r="E454" s="227" t="n">
        <v>0.2</v>
      </c>
    </row>
    <row r="455">
      <c r="A455" s="61" t="inlineStr">
        <is>
          <t>ES402</t>
        </is>
      </c>
      <c r="B455" s="61" t="inlineStr">
        <is>
          <t>Minor</t>
        </is>
      </c>
      <c r="C455" s="61" t="inlineStr">
        <is>
          <t>Labor</t>
        </is>
      </c>
      <c r="D455" s="61">
        <f>A455&amp;B455&amp;C455</f>
        <v/>
      </c>
      <c r="E455" s="227" t="n">
        <v>0.5</v>
      </c>
    </row>
    <row r="456">
      <c r="A456" s="61" t="inlineStr">
        <is>
          <t>ES402</t>
        </is>
      </c>
      <c r="B456" s="61" t="inlineStr">
        <is>
          <t>N/A</t>
        </is>
      </c>
      <c r="C456" s="61" t="inlineStr">
        <is>
          <t>Labor</t>
        </is>
      </c>
      <c r="D456" s="61">
        <f>A456&amp;B456&amp;C456</f>
        <v/>
      </c>
      <c r="E456" s="227" t="n">
        <v>1</v>
      </c>
    </row>
    <row r="457">
      <c r="A457" s="61" t="inlineStr">
        <is>
          <t>ES403</t>
        </is>
      </c>
      <c r="B457" s="61" t="inlineStr">
        <is>
          <t>Conformance</t>
        </is>
      </c>
      <c r="C457" s="61" t="inlineStr">
        <is>
          <t>Labor</t>
        </is>
      </c>
      <c r="D457" s="61">
        <f>A457&amp;B457&amp;C457</f>
        <v/>
      </c>
      <c r="E457" s="227" t="n">
        <v>2</v>
      </c>
    </row>
    <row r="458">
      <c r="A458" s="61" t="inlineStr">
        <is>
          <t>ES403</t>
        </is>
      </c>
      <c r="B458" s="61" t="inlineStr">
        <is>
          <t>Priority</t>
        </is>
      </c>
      <c r="C458" s="61" t="inlineStr">
        <is>
          <t>Labor</t>
        </is>
      </c>
      <c r="D458" s="61">
        <f>A458&amp;B458&amp;C458</f>
        <v/>
      </c>
      <c r="E458" s="227" t="n">
        <v>0</v>
      </c>
    </row>
    <row r="459">
      <c r="A459" s="61" t="inlineStr">
        <is>
          <t>ES403</t>
        </is>
      </c>
      <c r="B459" s="61" t="inlineStr">
        <is>
          <t>Major</t>
        </is>
      </c>
      <c r="C459" s="61" t="inlineStr">
        <is>
          <t>Labor</t>
        </is>
      </c>
      <c r="D459" s="61">
        <f>A459&amp;B459&amp;C459</f>
        <v/>
      </c>
      <c r="E459" s="227" t="n">
        <v>0.5</v>
      </c>
    </row>
    <row r="460">
      <c r="A460" s="61" t="inlineStr">
        <is>
          <t>ES403</t>
        </is>
      </c>
      <c r="B460" s="61" t="inlineStr">
        <is>
          <t>Minor</t>
        </is>
      </c>
      <c r="C460" s="61" t="inlineStr">
        <is>
          <t>Labor</t>
        </is>
      </c>
      <c r="D460" s="61">
        <f>A460&amp;B460&amp;C460</f>
        <v/>
      </c>
      <c r="E460" s="227" t="n">
        <v>1</v>
      </c>
    </row>
    <row r="461">
      <c r="A461" s="61" t="inlineStr">
        <is>
          <t>ES403</t>
        </is>
      </c>
      <c r="B461" s="61" t="inlineStr">
        <is>
          <t>N/A</t>
        </is>
      </c>
      <c r="C461" s="61" t="inlineStr">
        <is>
          <t>Labor</t>
        </is>
      </c>
      <c r="D461" s="61">
        <f>A461&amp;B461&amp;C461</f>
        <v/>
      </c>
      <c r="E461" s="227" t="n">
        <v>2</v>
      </c>
    </row>
    <row r="462">
      <c r="A462" s="61" t="inlineStr">
        <is>
          <t>ES404</t>
        </is>
      </c>
      <c r="B462" s="61" t="inlineStr">
        <is>
          <t>Conformance</t>
        </is>
      </c>
      <c r="C462" s="61" t="inlineStr">
        <is>
          <t>Labor</t>
        </is>
      </c>
      <c r="D462" s="61">
        <f>A462&amp;B462&amp;C462</f>
        <v/>
      </c>
      <c r="E462" s="227" t="n">
        <v>2</v>
      </c>
    </row>
    <row r="463">
      <c r="A463" s="61" t="inlineStr">
        <is>
          <t>ES404</t>
        </is>
      </c>
      <c r="B463" s="61" t="inlineStr">
        <is>
          <t>Priority</t>
        </is>
      </c>
      <c r="C463" s="61" t="inlineStr">
        <is>
          <t>Labor</t>
        </is>
      </c>
      <c r="D463" s="61">
        <f>A463&amp;B463&amp;C463</f>
        <v/>
      </c>
      <c r="E463" s="227" t="n">
        <v>0</v>
      </c>
    </row>
    <row r="464">
      <c r="A464" s="61" t="inlineStr">
        <is>
          <t>ES404</t>
        </is>
      </c>
      <c r="B464" s="61" t="inlineStr">
        <is>
          <t>Major</t>
        </is>
      </c>
      <c r="C464" s="61" t="inlineStr">
        <is>
          <t>Labor</t>
        </is>
      </c>
      <c r="D464" s="61">
        <f>A464&amp;B464&amp;C464</f>
        <v/>
      </c>
      <c r="E464" s="227" t="n">
        <v>0.5</v>
      </c>
    </row>
    <row r="465">
      <c r="A465" s="61" t="inlineStr">
        <is>
          <t>ES404</t>
        </is>
      </c>
      <c r="B465" s="61" t="inlineStr">
        <is>
          <t>Minor</t>
        </is>
      </c>
      <c r="C465" s="61" t="inlineStr">
        <is>
          <t>Labor</t>
        </is>
      </c>
      <c r="D465" s="61">
        <f>A465&amp;B465&amp;C465</f>
        <v/>
      </c>
      <c r="E465" s="227" t="n">
        <v>1</v>
      </c>
    </row>
    <row r="466">
      <c r="A466" s="61" t="inlineStr">
        <is>
          <t>ES404</t>
        </is>
      </c>
      <c r="B466" s="61" t="inlineStr">
        <is>
          <t>N/A</t>
        </is>
      </c>
      <c r="C466" s="61" t="inlineStr">
        <is>
          <t>Labor</t>
        </is>
      </c>
      <c r="D466" s="61">
        <f>A466&amp;B466&amp;C466</f>
        <v/>
      </c>
      <c r="E466" s="227" t="n">
        <v>2</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kiyung.park</dc:creator>
  <dcterms:created xsi:type="dcterms:W3CDTF">2014-05-07T01:50:42Z</dcterms:created>
  <dcterms:modified xsi:type="dcterms:W3CDTF">2026-09-26T14:03:06Z</dcterms:modified>
  <cp:lastModifiedBy>Tony</cp:lastModifiedBy>
  <cp:keywords>HR-Audit-App v3.1</cp:keywords>
  <cp:lastPrinted>2026-02-26T01:38:03Z</cp:lastPrinted>
</cp:coreProperties>
</file>

<file path=docProps/custom.xml><?xml version="1.0" encoding="utf-8"?>
<Properties xmlns:vt="http://schemas.openxmlformats.org/officeDocument/2006/docPropsVTypes" xmlns="http://schemas.openxmlformats.org/officeDocument/2006/custom-properties">
  <property name="AuditProp1" fmtid="{D5CDD505-2E9C-101B-9397-08002B2CF9AE}" pid="2">
    <vt:lpwstr>12E5E4CAF110FB7EBBC376CC41882EDBB739BA3735EBB614B60A451C1F4347A4</vt:lpwstr>
  </property>
  <property name="NSCPROP" fmtid="{D5CDD505-2E9C-101B-9397-08002B2CF9AE}" pid="3">
    <vt:lpwstr>NSCCustomProperty</vt:lpwstr>
  </property>
</Properties>
</file>