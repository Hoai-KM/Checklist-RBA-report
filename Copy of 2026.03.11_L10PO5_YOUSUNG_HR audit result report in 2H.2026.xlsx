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D:\2. AUDIT DATA\2026\2H.2026\4. YOUSUNG\"/>
    </mc:Choice>
  </mc:AlternateContent>
  <xr:revisionPtr revIDLastSave="0" documentId="13_ncr:1_{01E76FD9-19B8-4F88-BE73-A60186623C6E}" xr6:coauthVersionLast="45" xr6:coauthVersionMax="47" xr10:uidLastSave="{00000000-0000-0000-0000-000000000000}"/>
  <bookViews>
    <workbookView xWindow="-108" yWindow="-108" windowWidth="23256" windowHeight="12456" activeTab="2" xr2:uid="{00000000-000D-0000-FFFF-FFFF00000000}"/>
  </bookViews>
  <sheets>
    <sheet name="Company Profile" sheetId="12" r:id="rId1"/>
    <sheet name="General Information" sheetId="8" r:id="rId2"/>
    <sheet name="Checklist" sheetId="13" r:id="rId3"/>
    <sheet name="Reference table" sheetId="6" r:id="rId4"/>
    <sheet name="Table" sheetId="7" state="hidden" r:id="rId5"/>
  </sheets>
  <externalReferences>
    <externalReference r:id="rId6"/>
    <externalReference r:id="rId7"/>
  </externalReferences>
  <definedNames>
    <definedName name="_xlnm._FilterDatabase" localSheetId="2" hidden="1">Checklist!$A$5:$S$57</definedName>
    <definedName name="_xlnm._FilterDatabase" localSheetId="4" hidden="1">Table!$A$1:$F$466</definedName>
    <definedName name="LANGUAGE">[1]Language!$B$2:$J$86</definedName>
    <definedName name="_xlnm.Print_Area" localSheetId="2">Checklist!$A$1:$L$57</definedName>
    <definedName name="_xlnm.Print_Area" localSheetId="1">'General Information'!$A$1:$D$31</definedName>
    <definedName name="_xlnm.Print_Titles" localSheetId="2">Checklist!$1:$3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 i="13" l="1"/>
  <c r="B11" i="12" s="1"/>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2" i="7"/>
  <c r="D3" i="13"/>
  <c r="D6" i="7"/>
  <c r="D5" i="7"/>
  <c r="D4" i="7"/>
  <c r="D3" i="7"/>
  <c r="D2" i="7"/>
  <c r="S6" i="13"/>
  <c r="S7" i="13"/>
  <c r="S40" i="13"/>
  <c r="S21" i="13"/>
  <c r="B3" i="13"/>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S57" i="13"/>
  <c r="H57" i="13"/>
  <c r="E57" i="13"/>
  <c r="S56" i="13"/>
  <c r="H56" i="13"/>
  <c r="E56" i="13"/>
  <c r="S55" i="13"/>
  <c r="H55" i="13"/>
  <c r="E55" i="13"/>
  <c r="S54" i="13"/>
  <c r="H54" i="13"/>
  <c r="E54" i="13"/>
  <c r="S53" i="13"/>
  <c r="H53" i="13"/>
  <c r="E53" i="13"/>
  <c r="S52" i="13"/>
  <c r="H52" i="13"/>
  <c r="E52" i="13"/>
  <c r="S51" i="13"/>
  <c r="H51" i="13"/>
  <c r="E51" i="13"/>
  <c r="S50" i="13"/>
  <c r="H50" i="13"/>
  <c r="E50" i="13"/>
  <c r="S49" i="13"/>
  <c r="H49" i="13"/>
  <c r="E49" i="13"/>
  <c r="S48" i="13"/>
  <c r="H48" i="13"/>
  <c r="E48" i="13"/>
  <c r="S47" i="13"/>
  <c r="H47" i="13"/>
  <c r="E47" i="13"/>
  <c r="S46" i="13"/>
  <c r="H46" i="13"/>
  <c r="E46" i="13"/>
  <c r="S45" i="13"/>
  <c r="H45" i="13"/>
  <c r="E45" i="13"/>
  <c r="S44" i="13"/>
  <c r="H44" i="13"/>
  <c r="E44" i="13"/>
  <c r="S43" i="13"/>
  <c r="H43" i="13"/>
  <c r="E43" i="13"/>
  <c r="S42" i="13"/>
  <c r="H42" i="13"/>
  <c r="E42" i="13"/>
  <c r="S41" i="13"/>
  <c r="H41" i="13"/>
  <c r="E41" i="13"/>
  <c r="H40" i="13"/>
  <c r="E40" i="13"/>
  <c r="S39" i="13"/>
  <c r="H39" i="13"/>
  <c r="E39" i="13"/>
  <c r="S38" i="13"/>
  <c r="H38" i="13"/>
  <c r="E38" i="13"/>
  <c r="S37" i="13"/>
  <c r="H37" i="13"/>
  <c r="E37" i="13"/>
  <c r="S36" i="13"/>
  <c r="H36" i="13"/>
  <c r="E36" i="13"/>
  <c r="S35" i="13"/>
  <c r="H35" i="13"/>
  <c r="E35" i="13"/>
  <c r="S34" i="13"/>
  <c r="H34" i="13"/>
  <c r="E34" i="13"/>
  <c r="S33" i="13"/>
  <c r="H33" i="13"/>
  <c r="E33" i="13"/>
  <c r="S32" i="13"/>
  <c r="H32" i="13"/>
  <c r="E32" i="13"/>
  <c r="S31" i="13"/>
  <c r="H31" i="13"/>
  <c r="E31" i="13"/>
  <c r="S30" i="13"/>
  <c r="H30" i="13"/>
  <c r="E30" i="13"/>
  <c r="S29" i="13"/>
  <c r="H29" i="13"/>
  <c r="E29" i="13"/>
  <c r="S28" i="13"/>
  <c r="H28" i="13"/>
  <c r="E28" i="13"/>
  <c r="S27" i="13"/>
  <c r="H27" i="13"/>
  <c r="E27" i="13"/>
  <c r="S26" i="13"/>
  <c r="H26" i="13"/>
  <c r="E26" i="13"/>
  <c r="S25" i="13"/>
  <c r="H25" i="13"/>
  <c r="E25" i="13"/>
  <c r="S24" i="13"/>
  <c r="H24" i="13"/>
  <c r="E24" i="13"/>
  <c r="S23" i="13"/>
  <c r="H23" i="13"/>
  <c r="E23" i="13"/>
  <c r="S22" i="13"/>
  <c r="H22" i="13"/>
  <c r="E22" i="13"/>
  <c r="H21" i="13"/>
  <c r="E21" i="13"/>
  <c r="S20" i="13"/>
  <c r="H20" i="13"/>
  <c r="E20" i="13"/>
  <c r="S19" i="13"/>
  <c r="H19" i="13"/>
  <c r="E19" i="13"/>
  <c r="S18" i="13"/>
  <c r="H18" i="13"/>
  <c r="E18" i="13"/>
  <c r="S17" i="13"/>
  <c r="H17" i="13"/>
  <c r="E17" i="13"/>
  <c r="S16" i="13"/>
  <c r="H16" i="13"/>
  <c r="E16" i="13"/>
  <c r="S15" i="13"/>
  <c r="H15" i="13"/>
  <c r="E15" i="13"/>
  <c r="S14" i="13"/>
  <c r="H14" i="13"/>
  <c r="E14" i="13"/>
  <c r="S13" i="13"/>
  <c r="H13" i="13"/>
  <c r="E13" i="13"/>
  <c r="S12" i="13"/>
  <c r="H12" i="13"/>
  <c r="E12" i="13"/>
  <c r="S11" i="13"/>
  <c r="H11" i="13"/>
  <c r="E11" i="13"/>
  <c r="S10" i="13"/>
  <c r="H10" i="13"/>
  <c r="E10" i="13"/>
  <c r="S9" i="13"/>
  <c r="H9" i="13"/>
  <c r="E9" i="13"/>
  <c r="S8" i="13"/>
  <c r="H8" i="13"/>
  <c r="E8" i="13"/>
  <c r="H7" i="13"/>
  <c r="E7" i="13"/>
  <c r="H6" i="13"/>
  <c r="E6" i="13"/>
  <c r="C4" i="13"/>
  <c r="J2" i="13"/>
  <c r="C15" i="12"/>
  <c r="G11" i="12"/>
  <c r="H6" i="12"/>
  <c r="D2" i="13" l="1"/>
  <c r="J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Patrick Neyts</author>
  </authors>
  <commentList>
    <comment ref="D5" authorId="0" shapeId="0" xr:uid="{00000000-0006-0000-0200-000001000000}">
      <text>
        <r>
          <rPr>
            <b/>
            <sz val="11"/>
            <rFont val="Arial"/>
            <family val="2"/>
          </rPr>
          <t>If a change is made from the initial rating then please provide justification as per the guidance in the instructions</t>
        </r>
      </text>
    </comment>
  </commentList>
</comments>
</file>

<file path=xl/sharedStrings.xml><?xml version="1.0" encoding="utf-8"?>
<sst xmlns="http://schemas.openxmlformats.org/spreadsheetml/2006/main" count="2262" uniqueCount="420">
  <si>
    <t>COMPANY PROFILE</t>
  </si>
  <si>
    <t>Company</t>
  </si>
  <si>
    <t>YOUSUNG VINA</t>
  </si>
  <si>
    <t>Percentage of dealing with SEV/T in 2024</t>
  </si>
  <si>
    <t>CEO</t>
  </si>
  <si>
    <t>Full name</t>
  </si>
  <si>
    <t>Jang Hwa Su</t>
  </si>
  <si>
    <t>Total Sales amount in 2024</t>
  </si>
  <si>
    <t>USD</t>
  </si>
  <si>
    <t>Email</t>
  </si>
  <si>
    <t>hero8888@new1tech.com</t>
  </si>
  <si>
    <t>Manpower</t>
  </si>
  <si>
    <t>Product:</t>
  </si>
  <si>
    <t xml:space="preserve">Handphone </t>
  </si>
  <si>
    <t>0866821004</t>
  </si>
  <si>
    <t xml:space="preserve">Office: </t>
  </si>
  <si>
    <t>HR Manager</t>
  </si>
  <si>
    <t>Phạm Mạnh Cường</t>
  </si>
  <si>
    <t xml:space="preserve">
Constitution of workers
</t>
  </si>
  <si>
    <t>Regular:</t>
  </si>
  <si>
    <t xml:space="preserve">Email </t>
  </si>
  <si>
    <t>mcpham@new1tech.com</t>
  </si>
  <si>
    <t xml:space="preserve">Outsourced: </t>
  </si>
  <si>
    <t>0941319559</t>
  </si>
  <si>
    <t>Investor</t>
  </si>
  <si>
    <t>Korea</t>
  </si>
  <si>
    <t>Location</t>
  </si>
  <si>
    <t>Lot 4 - Diem Thuy IP, Phu Binh, Thai Nguyen</t>
  </si>
  <si>
    <t>Product</t>
  </si>
  <si>
    <t>Front, Octa</t>
  </si>
  <si>
    <t>Result</t>
  </si>
  <si>
    <t>Conformance rate:</t>
  </si>
  <si>
    <t>Interview Score</t>
  </si>
  <si>
    <t xml:space="preserve">Audit Date:  </t>
  </si>
  <si>
    <t>Samsung Viet Nam</t>
  </si>
  <si>
    <t>Supplier</t>
  </si>
  <si>
    <t>Auditor:</t>
  </si>
  <si>
    <t>Vendor' Representative</t>
  </si>
  <si>
    <t>General Information</t>
  </si>
  <si>
    <t>Supplier Name</t>
  </si>
  <si>
    <t>Supplier Address</t>
  </si>
  <si>
    <t>Audit Crieria / 심사기준</t>
  </si>
  <si>
    <t>RBA Standard 8.0.1</t>
  </si>
  <si>
    <t>Team Leader / 심사팀장</t>
  </si>
  <si>
    <t>LÊ THỊ THÚY HỒNG</t>
  </si>
  <si>
    <t>Team Member / 심사원</t>
  </si>
  <si>
    <t>KHUẤT MẠNH HOÀI</t>
  </si>
  <si>
    <t>Audit Type / 심사 형태</t>
  </si>
  <si>
    <t>Initial</t>
  </si>
  <si>
    <t>Starting Date of Initial Audit (YYYY-MM-DD) / 초기심사 시작일자(년월일)</t>
  </si>
  <si>
    <t>Closing Date of Initial Audit (YYYY-MM-DD) / 초기심사 마지막일자(년월일)</t>
  </si>
  <si>
    <t>Closing Date of Corrective Action Verification Audit (YYYY-MM-DD) / 확인심사 마지막일자(년월일)</t>
  </si>
  <si>
    <t>Profile / 프로파일</t>
  </si>
  <si>
    <t>Main Process / 주요 활동</t>
  </si>
  <si>
    <t>Assembly</t>
  </si>
  <si>
    <t>Product / 생산제품</t>
  </si>
  <si>
    <t>Contact Information / 담당자</t>
  </si>
  <si>
    <t>Name of Management Representative / 경영자 대리인 성명</t>
  </si>
  <si>
    <t>Position of Management Representative / 경영자 대리인 직책</t>
  </si>
  <si>
    <t>Main Contact / 주담당자명</t>
  </si>
  <si>
    <t>Main Contact Position / 직책</t>
  </si>
  <si>
    <t>Worker Type / 근로자 형태</t>
  </si>
  <si>
    <t>Total Number of Workers / 총 근로자수</t>
  </si>
  <si>
    <t>Permanent (Number) / 정규직</t>
  </si>
  <si>
    <t>Temperary (Number)  / 비정규직</t>
  </si>
  <si>
    <t>Foreign (Number)  / 외국인</t>
  </si>
  <si>
    <t>Yes</t>
  </si>
  <si>
    <t>Juvenile (Number) / 청소년</t>
  </si>
  <si>
    <t>No</t>
  </si>
  <si>
    <t>Child (Number) / 아동</t>
  </si>
  <si>
    <t>Intern, Student, Apprentice (Number) / 인턴,학생,실습생</t>
  </si>
  <si>
    <t>In-house Subcontracted Production
(Number, Actitivy, Name of Company) 
 / 사내 제조 임가공 (숫자, 활동, 회사명)</t>
  </si>
  <si>
    <t>Dormitory / 기숙사</t>
  </si>
  <si>
    <t>Cafeteria / 식당</t>
  </si>
  <si>
    <t>SA8000, ISO 14001, ISO 45001 (OHSAS18001), ISO 50001 Certification / 인증여부</t>
  </si>
  <si>
    <t>ISO 14001, ISO 45001</t>
  </si>
  <si>
    <t xml:space="preserve">Legal Law Violoation or prosecution for last 3 years / 최근 3년내 법적 제제위반사항 </t>
  </si>
  <si>
    <t>If yes (the above, please describe) / 있다면 해당 내용 기술</t>
  </si>
  <si>
    <t>Worker Interview counts / 인터뷰 근로자 수</t>
  </si>
  <si>
    <t>Vendor Name</t>
  </si>
  <si>
    <t>YOUSUNG</t>
  </si>
  <si>
    <t>Audit date</t>
  </si>
  <si>
    <t>11.03.2026</t>
  </si>
  <si>
    <t>Comformance Rate</t>
  </si>
  <si>
    <t>Vendor Code</t>
  </si>
  <si>
    <t>L10PO5</t>
  </si>
  <si>
    <t>Labor Score</t>
  </si>
  <si>
    <t>Priority violation</t>
  </si>
  <si>
    <t>RBA Score</t>
  </si>
  <si>
    <t>EHS Score</t>
  </si>
  <si>
    <t>Penalty violation</t>
  </si>
  <si>
    <t>Provision</t>
  </si>
  <si>
    <t>Audit ID</t>
  </si>
  <si>
    <t>Audit Item</t>
  </si>
  <si>
    <t>Final Significance</t>
  </si>
  <si>
    <t>Violation</t>
  </si>
  <si>
    <t>Penalty
Item</t>
  </si>
  <si>
    <t>Penalty
Criteria</t>
  </si>
  <si>
    <t>Penalty
violation</t>
  </si>
  <si>
    <t>Sub Category</t>
  </si>
  <si>
    <t>Conformance statement</t>
  </si>
  <si>
    <t>Description of Supporting Evidence of Violation</t>
  </si>
  <si>
    <t>Criteria of rating</t>
  </si>
  <si>
    <t>Site observation</t>
  </si>
  <si>
    <t>Record review</t>
  </si>
  <si>
    <t>Management interview</t>
  </si>
  <si>
    <t>Worker interview</t>
  </si>
  <si>
    <t>Evaluating
section</t>
  </si>
  <si>
    <t>Score</t>
  </si>
  <si>
    <t>AL1) Prohibition of Forced Labor</t>
  </si>
  <si>
    <t>AL101</t>
  </si>
  <si>
    <t>O</t>
  </si>
  <si>
    <t>Major</t>
  </si>
  <si>
    <t>X</t>
  </si>
  <si>
    <t>Priority</t>
  </si>
  <si>
    <t>Prohibition of forced labor</t>
  </si>
  <si>
    <t>Forced labor in any form, including but not limited to bonded(including debt bondage) or indentured labor, involuntary or exploitative prison
     labor, slavery, or trafficking of persons, is not permitted</t>
  </si>
  <si>
    <r>
      <rPr>
        <sz val="10"/>
        <rFont val="Calibri"/>
        <family val="2"/>
        <scheme val="minor"/>
      </rPr>
      <t xml:space="preserve">■ The rating criteria for the findings of prohibited recruitment and hiring fees that were paid and not reimbursed within 90 days after the payment.
     Frequency percentages are based on the sample size.
    </t>
    </r>
    <r>
      <rPr>
        <b/>
        <sz val="10"/>
        <color rgb="FF0000FF"/>
        <rFont val="Calibri"/>
        <family val="2"/>
        <scheme val="minor"/>
      </rPr>
      <t xml:space="preserve"> ☞ Refer to "Reference Table" sheet</t>
    </r>
    <r>
      <rPr>
        <sz val="10"/>
        <rFont val="Calibri"/>
        <family val="2"/>
        <scheme val="minor"/>
      </rPr>
      <t xml:space="preserve">
■ Other rating criteria
  ㆍPriority : ① Penalty to leave without reasonable notice is &gt;3 months of gross base wages
               ② Workers restricted from voluntary employment termination
               ③ Any situation that is putting workers at a health or safety risk (e.g., locking in factory or dorm)
               ④ Workers are restricted from movement through threat of firing, reporting to authorities or similarly severe threat
               ⑤ Non-voluntary labor is present (other than scenarios above or Major nonconformance)
               ⑥ A Priority item in AL102 or AL103
  ㆍMajor :  ① Termination notice period more than the stricter of 1 month or law
               ② Penalty to leave without reasonable notice is &gt;60% of 1 month of gross base wages (about 2-3 weeks)
               ③ Historic non-voluntary labor was present in last 12 months (situation was removed AND system was not updated)
               ④ Workers are restricted from movement through threat or penalty (but not a threat of firing, reporting to authorities or similarly severe threat),
                   even if a policy is in place.
  ㆍMinor :  ① No policy or procedures are in place on freedom of movement but there are no restrictions on freedom of movement.
               ② Non-coercive restrictions systems/procedures are used (e.g. toilet passes)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</si>
  <si>
    <t>Labor</t>
  </si>
  <si>
    <t>AL102</t>
  </si>
  <si>
    <t>Conformance</t>
  </si>
  <si>
    <t>Written contract in native language</t>
  </si>
  <si>
    <t>Terms and conditions of employment are provided in writing and in their native language, or a language the worker can understand,  before
     employment (foreign and internal migrant workers: before leaving their home country/region) and the key terms and  conditions of employment are 
     explained verbally in a language workers can understand, so workers understand what the terms and  conditions of employment states</t>
  </si>
  <si>
    <r>
      <rPr>
        <b/>
        <sz val="10"/>
        <color theme="1"/>
        <rFont val="Calibri"/>
        <family val="2"/>
        <scheme val="minor"/>
      </rPr>
      <t xml:space="preserve">Audit findings:
</t>
    </r>
    <r>
      <rPr>
        <sz val="10"/>
        <color theme="1"/>
        <rFont val="Calibri"/>
        <family val="2"/>
        <scheme val="minor"/>
      </rPr>
      <t xml:space="preserve">1: Nội dung hợp đồng chưa có xác nhận của NLD rằng họ đã được giải thích và hiểu rõ những nội dung trong hơp đồng lao động trước khi kí./ The labor contract does not include confirmation from the employee that they have been explained and clearly understand the contents of the labor contract before signing./ 
2: Hợp đồng thiếu các nội dung bắt buộc như: SDT của NLD, địa điểm làm việc chi tiết, chu kỳ tính lương...
3: NLD đã vào làm việc nhưng chưa được kí hợp đồng. 
</t>
    </r>
    <r>
      <rPr>
        <b/>
        <sz val="10"/>
        <color theme="1"/>
        <rFont val="Calibri"/>
        <family val="2"/>
        <scheme val="minor"/>
      </rPr>
      <t>Legal references:</t>
    </r>
    <r>
      <rPr>
        <sz val="10"/>
        <color theme="1"/>
        <rFont val="Calibri"/>
        <family val="2"/>
        <scheme val="minor"/>
      </rPr>
      <t xml:space="preserve">  Vietnam labor code 2019, article 21, point 1c and circular 10/2020/TT-BLDTBXH, artice 3, point 3)</t>
    </r>
  </si>
  <si>
    <r>
      <rPr>
        <sz val="10"/>
        <rFont val="Calibri"/>
        <family val="2"/>
        <scheme val="minor"/>
      </rPr>
      <t xml:space="preserve">ㆍPriority : ① Terms of employment  substitution for materially worse conditions 
                  (e.g. lower wages, different production facility, undisclosed fees for housing, food, etc.)
              ② No terms of employment  or conditions communicated  prior to employment (before leaving home in case of migrant worker)
              ③ Terms of employment contain language to limit the workers’ ability to voluntarily terminate their employment
ㆍMajor :   ① No terms of employment or contract not delivered prior to departure (in case of migrant workers) 
                   BUT conditions were communicated before work began (before leaving home in case of migrant worker)
</t>
    </r>
    <r>
      <rPr>
        <b/>
        <sz val="10"/>
        <color rgb="FF0000FF"/>
        <rFont val="Calibri"/>
        <family val="2"/>
        <scheme val="minor"/>
      </rPr>
      <t xml:space="preserve">              </t>
    </r>
    <r>
      <rPr>
        <sz val="10"/>
        <rFont val="Calibri"/>
        <family val="2"/>
        <scheme val="minor"/>
      </rPr>
      <t xml:space="preserve"> ② Terms of employment or conditions communicated were incomplete (missing one or more elements)
               ③ Defined worker group mix (e.g. student, intern, dispatch, etc.) exceeds legal limits by &gt; 5%
ㆍMinor :  ① Terms of employment  are provided but are incomplete (e.g. missing terms or conditions)
             ② Defined worker group mix (e.g. student, intern, dispatch, etc.) exceeds legal limits by &gt;1% but ≤ 5%.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r>
  </si>
  <si>
    <t>AL103</t>
  </si>
  <si>
    <t>Prohibition of holding worker’s original ID card</t>
  </si>
  <si>
    <t xml:space="preserve">The worker’s government-issued identification and personal documentation originals are not held by their employer, 
    agents and  sub-agents
</t>
  </si>
  <si>
    <r>
      <rPr>
        <b/>
        <sz val="10"/>
        <color theme="1"/>
        <rFont val="Calibri"/>
        <family val="2"/>
        <scheme val="minor"/>
      </rPr>
      <t xml:space="preserve">Audit findings:
</t>
    </r>
    <r>
      <rPr>
        <sz val="10"/>
        <color theme="1"/>
        <rFont val="Calibri"/>
        <family val="2"/>
        <scheme val="minor"/>
      </rPr>
      <t xml:space="preserve">1:
2:
3:
</t>
    </r>
    <r>
      <rPr>
        <b/>
        <sz val="10"/>
        <color theme="1"/>
        <rFont val="Calibri"/>
        <family val="2"/>
        <scheme val="minor"/>
      </rPr>
      <t>Legal references:</t>
    </r>
    <r>
      <rPr>
        <sz val="10"/>
        <color theme="1"/>
        <rFont val="Calibri"/>
        <family val="2"/>
        <scheme val="minor"/>
      </rPr>
      <t xml:space="preserve">  </t>
    </r>
  </si>
  <si>
    <t>ㆍPriority : ① Any original personal documents are kept, destroyed, concealed, or confiscated우
              ② If the law requires the document to be held, any evidence of tampering, restricting access for more than 12 hours or charging a fee
              ③ A priority rating on this finding also requires a  priority finding on AL101
ㆍMajor  : ① Original personal documents are kept
             ② There is no policy for document safekeeping and/or worker access to their documents when the law requires holding original documents
             ③ For workers in any form of company/agent/contractor provided living accommodations, access to personal secure storage is inhibited in &gt;5% of cases.
ㆍMinor  : ① When the law requires holding original-documents, a safe keeping policy and procedures are in place 
                  but workers cannot access their documents within 12 hours
             ② For workers in any form of company/agent/contractor provided living accommodations, access to personal secure storage is inhibited in ≤5% of cases
※ Required Documents and Records
    - Contracts with labor agencies, labor brokers, labor service providers 
 - Example of a worker (labor) contract
      ㆍPermanent, Salaried, Hourly paid, Temporary staff/worker, Seasonal (if applicable) worker,
         Juvenile employee, Apprentice, Foreign Migrant Worker (FMW), Vocational employee (if applicable)
    - Records of employment including proof of age, identity, and government worker permits
    - Termination notice policy
    - Recruitment/hiring process/procedure
    - Documentation of employee loan and credit schemes
    - Records of fees paid by workers (if applicable) for the last 24 months</t>
  </si>
  <si>
    <t>AL2) Young Workers</t>
  </si>
  <si>
    <t>AL201</t>
  </si>
  <si>
    <t>Prohibition of child labor</t>
  </si>
  <si>
    <t>Workers are not below the minimum age</t>
  </si>
  <si>
    <t>ㆍPriority : Confirmed underage workers are present at the facility or were present
ㆍMajor   : Two or more of the minimum requirement elements is missing or ineffective
ㆍMinor   : One of the minimum requirement elements is missing or ineffective, or a system element is not adequately documented or is prohibited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</si>
  <si>
    <t>AL202</t>
  </si>
  <si>
    <t>Juvenile worker protection</t>
  </si>
  <si>
    <t>Workers under the age of 18 are not allowed to perform work that is likely to jeopardize the health or safety of these young workers,
     including night work or overtime</t>
  </si>
  <si>
    <t>ㆍPriority : ① Young workers are doing hazardous work
              ② Young workers are working overtime
              ③ Young workers are doing night work 
ㆍMajor :  Two or more of the minimum requirement elements is missing or ineffective
ㆍMinor :  One of the minimum requirement elements is missing or ineffective, or a system element is not adequately documented or is prohibited
ㆍN/A    : No workers under age 18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</si>
  <si>
    <t>AL203</t>
  </si>
  <si>
    <t>Student worker/Intern/Apprentice Protection</t>
  </si>
  <si>
    <t>Apprentice/Intern/Student Worker employment conforms with learning objectives</t>
  </si>
  <si>
    <t>ㆍMajor :  ① Work performed by apprentices is not related to a field of study or learning of a new vocation
              ② Apprenticeship where worker is paid below minimum wage is longer than 6 months (longer than 6 months is only permitted if legal  requirement)
              ③ No tri-party agreement among the school,  factory and student/parent
              ④ Intern, student worker or apprentice is hired through a labor agent/contractor
              ⑤ Two or more of the minimum requirement elements are missing or ineffective
ㆍMinor :   ① No policy on learning programs in place
               ② No school due diligence performed
               ③ One of the minimum requirement elements is missing or ineffective, or a system element is not adequately documented or is prohibited
ㆍN/A : No student workers, interns or apprentices on site
※ Required Documents and Records
    - Company policy for young worker protection and appropriate hours/shifts
 - Minimum hiring age policy
    - Procedure for obtaining and validating proof of age documentation
    - Records of training and apprenticeship programs
    - Child labor assistance/remediation process
    - Juvenile worker protection procedures</t>
  </si>
  <si>
    <t>AL3) Working hours</t>
  </si>
  <si>
    <t>AL301</t>
  </si>
  <si>
    <t>Compliance of working hours</t>
  </si>
  <si>
    <t xml:space="preserve">Hours worked in a workweek does not exceed 60 hours </t>
  </si>
  <si>
    <r>
      <rPr>
        <sz val="10"/>
        <rFont val="Calibri"/>
        <family val="2"/>
        <scheme val="minor"/>
      </rPr>
      <t xml:space="preserve">
</t>
    </r>
    <r>
      <rPr>
        <b/>
        <sz val="10"/>
        <color rgb="FF0000FF"/>
        <rFont val="Calibri"/>
        <family val="2"/>
        <scheme val="minor"/>
      </rPr>
      <t xml:space="preserve">Use working-hour evaluation template, "Reference Table" sheet </t>
    </r>
    <r>
      <rPr>
        <sz val="10"/>
        <rFont val="Calibri"/>
        <family val="2"/>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</si>
  <si>
    <t>AL302</t>
  </si>
  <si>
    <t>Guarantee of 1 day-off per week</t>
  </si>
  <si>
    <t xml:space="preserve">Workers receive at least one (1) day off every seven (7) days </t>
  </si>
  <si>
    <r>
      <rPr>
        <sz val="10"/>
        <rFont val="Calibri"/>
        <family val="2"/>
        <scheme val="minor"/>
      </rPr>
      <t xml:space="preserve">
</t>
    </r>
    <r>
      <rPr>
        <b/>
        <sz val="10"/>
        <color rgb="FF0000FF"/>
        <rFont val="Calibri"/>
        <family val="2"/>
        <scheme val="minor"/>
      </rPr>
      <t>Use working-hour evaluation template, "Reference Table" sheet</t>
    </r>
    <r>
      <rPr>
        <sz val="10"/>
        <rFont val="Calibri"/>
        <family val="2"/>
        <scheme val="minor"/>
      </rPr>
      <t xml:space="preserve">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r>
  </si>
  <si>
    <t>AL303</t>
  </si>
  <si>
    <t>Guarantee of legal breaks and holidays</t>
  </si>
  <si>
    <t>Workers are allowed mandated breaks, holidays and vacation days, including time off when ill or for maternity leave</t>
  </si>
  <si>
    <r>
      <rPr>
        <b/>
        <sz val="10"/>
        <color theme="1"/>
        <rFont val="Calibri"/>
        <family val="2"/>
        <scheme val="minor"/>
      </rPr>
      <t xml:space="preserve">Audit findings:
</t>
    </r>
    <r>
      <rPr>
        <sz val="10"/>
        <color theme="1"/>
        <rFont val="Calibri"/>
        <family val="2"/>
        <scheme val="minor"/>
      </rPr>
      <t xml:space="preserve">1: Điều 6, khoản 6.2 trong Thỏa ước lao động tập thể quy định "Cuối năm nếu CNV đang làm việc mà chưa nghỉ hết số ngày nghỉ hàng năm của năm đó thì không được thanh toán tiền lương cho số ngày chưa nghỉ đó".
</t>
    </r>
    <r>
      <rPr>
        <b/>
        <sz val="10"/>
        <color theme="1"/>
        <rFont val="Calibri"/>
        <family val="2"/>
        <scheme val="minor"/>
      </rPr>
      <t>Legal references:</t>
    </r>
    <r>
      <rPr>
        <sz val="10"/>
        <color theme="1"/>
        <rFont val="Calibri"/>
        <family val="2"/>
        <scheme val="minor"/>
      </rPr>
      <t xml:space="preserve">  </t>
    </r>
  </si>
  <si>
    <t>ㆍPriority : Workers are not allowed time off for illness or maternity with valid medical certificate
ㆍMajor   : ① No policy in place and mandatory breaks/holidays are not provided or guaranteed
             ② Leave records are not kept or accurate
ㆍMinor  : ① Holidays and mandatory breaks are provided but: no policy is in place
             ② Holidays and mandatory breaks are provided but: policy is not communicated to workers
※ Required Documents and Records
    - Non-traditional work hour permits, or overtime waivers issued by government agencies
 - Information provided to workers describing legal requirements for working hours and overtime
    - Working hours policy
    - Process for allocating and controlling overtime hours
    - Work time registration process/procedure
    - Worker timecards or timesheets (most recent 12-month period)
    - Evidence that employees have voluntarily agreed to overtime (e.g., signed statement)
    - Evidence of communication of overtime</t>
  </si>
  <si>
    <t>AL4) Wages and Benefits</t>
  </si>
  <si>
    <t>AL401</t>
  </si>
  <si>
    <t>Accurate wage calculation and payment</t>
  </si>
  <si>
    <t xml:space="preserve">Wages for regular and overtime hours are correctly calculated and timely paid to all workers </t>
  </si>
  <si>
    <t>ㆍPriority : Payments have been delayed for more than 1 month beyond regular payment cycle
ㆍMajor  :  ① Payments are delayed less than one month beyond normal payment cycle and for &gt;5 percent of worker samples
              ② The percentage of sample workers paid below agreed wage is ≥5% and ≤20%
              ③ Percentage of sample or population not paid benefits or correct overtime compensation is ≥5%
              ④ Wage deductions are employed by the Auditee as a standard disciplinary measure
ㆍMinor  : ① Payments have been delayed less than one month beyond normal payment cycle and for ≤5 percent of worker sample
              ② Wage deductions are not employed by the Auditee however no clear policy statement on this is in place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</si>
  <si>
    <t>AL402</t>
  </si>
  <si>
    <t>Provision of pay slip</t>
  </si>
  <si>
    <t xml:space="preserve">For each pay period, workers are provided with understandable wage statements that includes sufficient information to verify 
    accurate compensation for work performed </t>
  </si>
  <si>
    <t>ㆍPriority : ≥20% of sample is paid less than agreed* wage
               (* Agreed = the stricter of legal minimum wage, wage stipulated in the employment contract or wage set in the Collective Bargaining Agreement
ㆍMajor :  ① Wages and compensation are not communicated to workers in the form of pay slips, pay roll receipt or equivalent
              ② No training or explanation of wages are provided to workers
ㆍMinor : Communication and training are provided but &gt;5 percent of the worker sample do not understand how wages are calculated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</si>
  <si>
    <t>AL403</t>
  </si>
  <si>
    <t>Payment of government or regulatory deductions</t>
  </si>
  <si>
    <t xml:space="preserve">Deductions or withholdings are calculated correctly and submitted to the appropriate government agency within the local law time frame </t>
  </si>
  <si>
    <r>
      <rPr>
        <b/>
        <sz val="10"/>
        <color theme="1"/>
        <rFont val="Calibri"/>
        <family val="2"/>
        <scheme val="minor"/>
      </rPr>
      <t xml:space="preserve">Audit findings:
</t>
    </r>
    <r>
      <rPr>
        <sz val="10"/>
        <color theme="1"/>
        <rFont val="Calibri"/>
        <family val="2"/>
        <scheme val="minor"/>
      </rPr>
      <t xml:space="preserve">1: Điều 3 hợp đồng lao động quy định "Nếu không hoàn trả (đồng phục) công ty có quyền khấu trừ vào lương của NLD tương ứng với chi phí mà NLD phải trả cho công ty" và không có quy định về khấu hao đồng phục.
</t>
    </r>
    <r>
      <rPr>
        <b/>
        <sz val="10"/>
        <color theme="1"/>
        <rFont val="Calibri"/>
        <family val="2"/>
        <scheme val="minor"/>
      </rPr>
      <t>Legal references:</t>
    </r>
    <r>
      <rPr>
        <sz val="10"/>
        <color theme="1"/>
        <rFont val="Calibri"/>
        <family val="2"/>
        <scheme val="minor"/>
      </rPr>
      <t xml:space="preserve">  </t>
    </r>
  </si>
  <si>
    <t>ㆍPriority : Payment of government or regulatory deductions have not been made or paid on time for at least 3 months
ㆍMajor : ① Percentage of sample or population that do not have correct required employer and employee contributions paid is ≥20% 
                (excluding new workers less than 2 pay cycles with the employer)
            ② Required employer and employee contributions are not paid regularly or timely
ㆍMinor : ① Percentage of sample or population that do not have correct required employer and employee contributions paid is &lt;20%
                (excluding new workers less than 2 pay cycles with the employer)
            ② Required employer and employee contributions are paid timely but not communicated to workers
 ㆍN/A  : No withholdings or required contributions
※ Required Documents and Records
    - Information provided to workers describing wages, deductions, calculations, and benefits
 - Information / examples of how wages were set for each job code
    - Disciplinary wage deductions and bonus award practices
    - List of allowances, e.g. food, accommodations and procedure
    - Procedure for piece rate determination and calculations (if applicable)
    - List of worker contributions and procedure 
    - Local minimum wage definition
    - Wage records or pay slips covering the last 12 months showing all deductions, contributions, earnings, and money transfers for workers
    - Records of contributions to the worker insurance schemes
    - Payment records of contributions to worker insurance schemes
    - Proof of purchase of all applicable insurance for workers
    - Proof of maternity/paternity leave policy for workers</t>
  </si>
  <si>
    <t>AL5) Non-Discrimination/Humane Treatment</t>
  </si>
  <si>
    <t>AL501</t>
  </si>
  <si>
    <t>Prohibition of discrimination, harassment, inhumane treatment</t>
  </si>
  <si>
    <t>No evidence of discrimination, harassment, inhumane treatment, or threat of these exists</t>
  </si>
  <si>
    <t>ㆍPriority : One or more case of inhumane treatment is reported without action taken by Auditee management 
ㆍMajor   : .Less than two (2) inhumane treatment cases are reported with actions still in progress
ㆍMinor   : Less than two (2) inhumane treatment cases were reported with actions completed but no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</si>
  <si>
    <t>AL502</t>
  </si>
  <si>
    <t>Recording and managing disciplinary actions</t>
  </si>
  <si>
    <t>Disciplinary actions are recorded and reviewed by management</t>
  </si>
  <si>
    <t>ㆍPriority : An inhumane, discriminatory or harassing disciplinary action 
ㆍMajor   : ① Disciplinary action records are not available
               ② Disciplinary action records are not consistent with company procedures
               ③ Two or more discrimination cases are reported with actions not taken
ㆍMinor   : ① Disciplinary action records are available but workers do not confirm or sign the records/actions
               ② One discrimination case was reported with actions completed but no preventative measures on an ongoing basis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</si>
  <si>
    <t>AL503</t>
  </si>
  <si>
    <t>Provision of prayer space(applicable religion)</t>
  </si>
  <si>
    <t xml:space="preserve">Reasonable accommodation for religious practices is provided </t>
  </si>
  <si>
    <t>ㆍPriority : Reasonable Religious Accommodation requests are refused by management without justification
ㆍMajor   : ① No Adequate Reasonable Religious Accommodation in place
              ② Prayer /religious areas are provided but not safe, clean or adequate
              ③ Reasonable Religious Accommodation requests are made but not evaluated or decisions are not communicated to requestor/workers
ㆍMinor   : Reasonable Religious Accommodation records(application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</si>
  <si>
    <t>AL504</t>
  </si>
  <si>
    <t>Minor</t>
  </si>
  <si>
    <t>Provision of disability accomodation</t>
  </si>
  <si>
    <t>Reasonable accommodation for disability is provided</t>
  </si>
  <si>
    <t>ㆍPriority : Disability accommodation requests are refused by management without justification
ㆍMajor   : ① No Adequate Reasonable Disability Accommodation in place
              ② Disability accommodations do not  meet minimum needs of people with  disability(ies).
              ③Reasonable Disability Accommodation requests are made but not evaluated or decisions are not communicated to requestor/workers
ㆍMinor   : Reasonable Disability Accommodation records (application and responses) are not kept
※ Required Documents and Records
    - Facility rules and regulations on acceptable worker practices and disciplinary measures
 - Disciplinary process/procedure
    - Records of disciplinary actions
    - Pre-employment, pre-placement medical examination requirements
    - Medical confidentiality procedure and practice
    - Information on workers population (type (contract/temporary/permanent), gender, function, ethnicity (place of origin), age, ...)
    - Current job advertisements and qualifications
    - Procedure for workers to request reasonable religious accommodation
    - Religious accommodation records
    - Procedure for workers to request reasonable accommodation for disability
    - Disability accommodation records</t>
  </si>
  <si>
    <t>AL6) Freedom of Association and Collective Bargaining</t>
  </si>
  <si>
    <t>AL601</t>
  </si>
  <si>
    <t>Enrolling in a trade union of worker’s own free will</t>
  </si>
  <si>
    <t>Workers can form or enroll in a trade union of their own free will</t>
  </si>
  <si>
    <t>ㆍMajor   : ① Freedom of Association is prohibited in  Auditee communication
              ② No specific policy or language in general  policies that respects the right of the  workers to form or enroll in a trade union
              ③ Any grievance or legal finding that the Auditee interfered with workers Freedom of Association is not acted upon
              ④ Auditee controls or attempts to control a trade union at the Auditee’s facility
              ⑤ Evidence that Auditee provides payments or other items of value to a trade union or the trade union’s leadership or members
ㆍMinor   : Policy/Communication on Freedom of Association not communicated to or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</si>
  <si>
    <t>AL602</t>
  </si>
  <si>
    <t>Guarantee of the right of collective bargaining</t>
  </si>
  <si>
    <t xml:space="preserve">Legal rights of all workers to bargain collectively, or refrain from doing so, are respected </t>
  </si>
  <si>
    <t>ㆍMajor   : ① Material elements of the CBA are not upheld and there is no evidence that management is taking action to remediate
              ② Evidence that the CBA process is prohibited
ㆍMinor   : The content and conditions of a collective agreement are unclear, regarding guaranteeing the right to collective bargaining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</si>
  <si>
    <t>AL603</t>
  </si>
  <si>
    <t>Guarantee of the right of peaceful assembly</t>
  </si>
  <si>
    <t>Participants respect the legal right of all workers to peacefully assemble</t>
  </si>
  <si>
    <t>ㆍMajor   : ① Right of workers to individual or collectively raise concerns or ideas is not recognized in policy and/or has not been upheld in practice
              ② Right of workers to individual or collectively raise concerns or ideas process is prohibited in Auditee communication
ㆍMinor   : Communication about the right of workers to individual or collectively raise concerns or ideas is made, but not in a language understood by the worker
※ Required Documents and Records
    - Information provided to workers describing local laws and regulations pertaining to freedom of association and labor unions
    - Minutes of worker meetings and/or union-management meetings
    - Evidence of regular communications and feedback channels with workers to hear their issues and bring appropriate resolutions
    - Records of workers complaints and actions taken (and communicated to workers)</t>
  </si>
  <si>
    <t>AM1) Risk Assessment</t>
  </si>
  <si>
    <t>AM101</t>
  </si>
  <si>
    <t>Compliance process of Legal/Customer Requirements</t>
  </si>
  <si>
    <t xml:space="preserve">An adequate and effective labor compliance process is established to monitor, identify, understand, and ensure compliance with  applicable
     laws, regulations, and customer requirements
</t>
  </si>
  <si>
    <t>ㆍPriority : Imminent and significant impact are confirmed on facility, life, limb or community without risk assessment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</si>
  <si>
    <t>AM102</t>
  </si>
  <si>
    <t>Due diligence Process</t>
  </si>
  <si>
    <t xml:space="preserve">An adequate and effective due diligence process is established to identify and assess the most significant actual and potential  labor risks 
     where the facility caused or contributed to adverse labor impacts (including applicable requirements).
</t>
  </si>
  <si>
    <t>ㆍPriority : Imminent and significant impact are confirmed on facility, life, limb or community without due diligence activities
ㆍMajor   : ① Two or more of minimum requirement elements are missing or ineffective
               ② No due diligence process adequate for the scope and nature of the operations and no controls in place 
ㆍMinor  :  ① One of minimum requirement elements is missing or ineffective, or a system element is not adequately documented or is prohibited
               ② Due diligence process adequate for the scope and nature of the operations AND due diligence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</si>
  <si>
    <t>AM2) Control processes</t>
  </si>
  <si>
    <t>AM201</t>
  </si>
  <si>
    <t>Assigning responsibilities and authorities for all workers(Senior manager to workers)</t>
  </si>
  <si>
    <t>Labor responsibilities and authorities are adequately and effectively defined and assigned for all employee levels (senior  managers to workers) 
     for the implementation of management systems, and for compliance with laws, regulations, and codes</t>
  </si>
  <si>
    <t>ㆍPriority : Imminent and significant impact are confirmed on facility, life, limb or community without action
ㆍMajor   : ① Two or more of minimum requirement elements are missing or ineffective
               ② No identified management representative authorized to implement the management system of a component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</si>
  <si>
    <t>AM202</t>
  </si>
  <si>
    <t>Policies and Control Process</t>
  </si>
  <si>
    <t>Adequate and effective labor policies and control processes are established</t>
  </si>
  <si>
    <t>ㆍPriority : Imminent and significant impact are confirmed on facility, life, limb or community without action
ㆍMajor   : ① Two or more of minimum requirement elements are missing or ineffective
               ② Time records are not accurately adjusted  after worker grievance
               ③ If the working hour controls are found to  be in non-conformance (minor, major or  priority finding in AL301, and/or minor, major  
                   or priority in AL302), then major finding
               ④ Time records do not match other relevant  Auditee records &gt;5% of population
ㆍMinor  :  ① One of minimum requirement elements is missing or ineffective, or a system element is not adequately documented or is prohibited
               ② Time records not matching other relevant Auditee records for &gt;1% to ≤5% of population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</si>
  <si>
    <t>AM203</t>
  </si>
  <si>
    <t>Training process</t>
  </si>
  <si>
    <t>An adequate and effective labor training process is established for all managers/workers on all policy/process/job-related  aspects and performance targets</t>
  </si>
  <si>
    <t>ㆍPriority : Workers not trained before starting work
ㆍMajor   : ① Two or more of minimum requirement elements are missing or ineffective
               ② &gt;5% of workers not trained within 30 days of the hire date
ㆍMinor  :  ① One of minimum requirement elements is missing or ineffective, or a system element is not adequately documented or is prohibited 
               ② One focus area is missing in the communications (policy, performance, practice, expectations)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</si>
  <si>
    <t>AM3) Communications</t>
  </si>
  <si>
    <t>AM301</t>
  </si>
  <si>
    <t>Worker, stakeholder communication</t>
  </si>
  <si>
    <t xml:space="preserve">An adequate and effective ongoing two-way communication process with workers, and internal and external stakeholders, where  relevant or
     necessary, is established to obtain feedback on operational labor practices and conditions and to foster continuous  improvement
</t>
  </si>
  <si>
    <t>ㆍPriority : Imminent and significant impact are confirmed on facility, life, limb or community without action
ㆍMajor   : ① Two or more of minimum requirement elements are missing or ineffective
               ② Two or more focus areas are missing in the communications (policy, performance, practice, expectations)
ㆍMinor  :  ① One of minimum requirement elements is missing or ineffective, or a system element is not adequately documented or is prohibited 
               ② One focus area is missing in the communications (policy, performance, practice, expectations)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</si>
  <si>
    <t>AM302</t>
  </si>
  <si>
    <t>Worker grievance/complaint process</t>
  </si>
  <si>
    <t>An adequate and effective process is established to anonymously report labor grievances confidentially without fear of reprisal or  intimidation</t>
  </si>
  <si>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</si>
  <si>
    <t>AM4) Performance Review and Continuous Improvement</t>
  </si>
  <si>
    <t>AM401</t>
  </si>
  <si>
    <t>Performance Review and Continuous Improvement</t>
  </si>
  <si>
    <t>An adequate and effective labor management performance review and continuous improvement process is established</t>
  </si>
  <si>
    <t>ㆍMajor   : ① Two or more of minimum requirement elements are missing or ineffective
               ② No targets established
               ③ No review takes place on progress
ㆍMinor  :  ① One of minimum requirement elements is missing or ineffective, or a system element is not adequately documented or is prohibited
               ② Targets are established but no review takes place
               ③ No corrective actions taken if progress is off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</si>
  <si>
    <t>AM402</t>
  </si>
  <si>
    <t>Self-audit process</t>
  </si>
  <si>
    <t>An adequate and effective labor self-audit process is established to assess conformance with the RBA Code and customer  requirements periodically</t>
  </si>
  <si>
    <t>ㆍMajor   : ① No Audits carried out
               ② Two or more of minimum requirement elements are missing or ineffective
               ③ Scope does not include regulatory compliance
ㆍMinor  :  ① One of minimum requirement elements is missing or ineffective, or a system element is not adequately documented or is prohibited
               ②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</si>
  <si>
    <t>AM403</t>
  </si>
  <si>
    <t>Corrective action process</t>
  </si>
  <si>
    <t xml:space="preserve">An adequate and effective labor corrective action process is established to rectify and close non-conformances
</t>
  </si>
  <si>
    <t>ㆍMajor   : ① Two or more of minimum requirement elements are missing or ineffective
               ② One or more unaddressed regulatory actions or penalties
ㆍMinor  :  ① One of minimum requirement elements is missing or ineffective, or a system element is not adequately documented or is prohibited
               ②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</si>
  <si>
    <t>DE1) Business Integrity and No Improper Advantage</t>
  </si>
  <si>
    <t>DE101</t>
  </si>
  <si>
    <t>Prohibition of bribery and improper advantage</t>
  </si>
  <si>
    <t>No identified risk or evidence of bribes or obtaining undue or improper advantage being promised, offered, authorized, given, or  accepted</t>
  </si>
  <si>
    <t>ㆍPriority : A confirmed case of bribery, improper advantage, corruption, extortion, or embezzlement without a corrective action plan
ㆍMajor   : No detailed and understandable gift or similar policy and procedures implemented
ㆍMinor   : Partial policy or procedures or implementation
※ Required Documents and Records
    - Policy that ensures gifts to or from suppliers and customers is not excessive in cost and frequency and hospitality, expenses or promises
 - Effective procedures for addressing its workers or agents suspected of making or accepting improper offers of payments or gifts 
      and attempted bribery in all forms
    - Investigation procedures and subsequent sanctions are applied are in place
    - Disciplinary procedures/policy
    - Disciplinary records</t>
  </si>
  <si>
    <t>DE2) Disclosure of Information</t>
  </si>
  <si>
    <t>DE201</t>
  </si>
  <si>
    <t>Prohibition of record falsification and misrepresentation</t>
  </si>
  <si>
    <t>No evidence of misreporting, record falsification, misrepresentation, or evidence of communicating inaccurate information to the  public</t>
  </si>
  <si>
    <t>ㆍPriority : Records are deliberately misleading
ㆍMajor   : No detailed and understandable gift or similar policy and procedures implemented
ㆍMinor   : Partial policy or procedures or implementation
※ Required Documents and Records
    - Non-disclosure agreement template/form
    - Non-disclosure agreements with suppliers and customers
    - Non-disclosure agreements with service providers</t>
  </si>
  <si>
    <t>DE3) Intellectual Property</t>
  </si>
  <si>
    <t>DE301</t>
  </si>
  <si>
    <t>Intellectual property protection</t>
  </si>
  <si>
    <t xml:space="preserve">No evidence of Intellectual Property or business information loss or unauthorized disclosure (the Auditee’s own and that of their
     customers/suppliers).
</t>
  </si>
  <si>
    <t>ㆍPriority : IP is not protected
ㆍMajor   : No detailed and understandable gift or similar policy and procedures implemented
ㆍMinor   : Partial policy or procedures or implementation
※ Required Documents and Records
    - Intellectual property review and protection policies</t>
  </si>
  <si>
    <t>DE4) Fair Business, Advertising and Competition</t>
  </si>
  <si>
    <t>DE401</t>
  </si>
  <si>
    <t>Compliance of Fair Business, Advertising and Competition</t>
  </si>
  <si>
    <t xml:space="preserve">No identified risk or evidence of non-conformance with fair business, advertising and competition standards </t>
  </si>
  <si>
    <t>ㆍMajor   : No detailed and understandable gift or similar policy and procedures implemented
ㆍMinor   : Partial policy or procedures or implementation
※ Required Documents and Records
    - Annual financial report independently assessed by financial assessment firm
    - Fair business / anti collusion policy
    - Advertising policy/communications policy
    - Advert/job advert</t>
  </si>
  <si>
    <t>DE5) Protection of Identity and Non-Retaliation</t>
  </si>
  <si>
    <t>DE501</t>
  </si>
  <si>
    <t>Non-Retaliation &amp; Whistleblower protection</t>
  </si>
  <si>
    <t xml:space="preserve">No evidence of retaliation or reduced protection of identity </t>
  </si>
  <si>
    <t>ㆍPriority :  ① Confirmed retaliation
               ② Confirmed breach of identity
ㆍMajor   : No detailed and understandable gift or similar policy and procedures implemented
ㆍMinor   : Partial policy or procedures or implementation
※ Required Documents and Records
    - Policy/procedure on “whistle blowing”
    - Clear communications to workers/employees on non- retaliation
    - Procedures to investigate possible retaliation allegations</t>
  </si>
  <si>
    <t>DE6) Privacy</t>
  </si>
  <si>
    <t>DE601</t>
  </si>
  <si>
    <t>Protection of personal information</t>
  </si>
  <si>
    <t>No evidence of unauthorized disclosure of personal information</t>
  </si>
  <si>
    <r>
      <rPr>
        <b/>
        <sz val="10"/>
        <color theme="1"/>
        <rFont val="Calibri"/>
        <family val="2"/>
        <scheme val="minor"/>
      </rPr>
      <t>Audit Findings:</t>
    </r>
    <r>
      <rPr>
        <sz val="10"/>
        <color theme="1"/>
        <rFont val="Calibri"/>
        <family val="2"/>
        <scheme val="minor"/>
      </rPr>
      <t xml:space="preserve">
1. The personal data processing impact assessment report has not been submitted to the Ministry of Public Security according to regulations./ Chưa nộp báo cáo đánh giá tác động xử lý dữ liệu cá nhân cho Bộ Công an theo quy định
</t>
    </r>
    <r>
      <rPr>
        <b/>
        <sz val="10"/>
        <color theme="1"/>
        <rFont val="Calibri"/>
        <family val="2"/>
        <scheme val="minor"/>
      </rPr>
      <t xml:space="preserve">Legal Reference:
</t>
    </r>
    <r>
      <rPr>
        <sz val="10"/>
        <color theme="1"/>
        <rFont val="Calibri"/>
        <family val="2"/>
        <scheme val="minor"/>
      </rPr>
      <t>1. Article 24.4 Decree 13/20203/ND-CP</t>
    </r>
  </si>
  <si>
    <t>ㆍPriority : Personal information is collected, stored, processed, transmitted, or shared without the individual’s approval
ㆍMajor   : No detailed and understandable gift or similar policy and procedures implemented
ㆍMinor   : Partial policy or procedures or implementation
※ Required Documents and Records
    - A formal policy and program to protect privacy
    - Training material and training records on privacy protection</t>
  </si>
  <si>
    <t>DM1) Risk Assessment</t>
  </si>
  <si>
    <t>DM101</t>
  </si>
  <si>
    <t xml:space="preserve">An adequate and effective ethics compliance process is established to monitor, identify, understand, and ensure compliance with  applicable
     laws, regulations, and customer requirements
</t>
  </si>
  <si>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</si>
  <si>
    <t>DM102</t>
  </si>
  <si>
    <t xml:space="preserve">An adequate and effective due diligence process is established to identify and assess the most significant actual and potential  ethics risks 
     where the facility caused or contributed to adverse ethics impacts (including applicable requirements).
</t>
  </si>
  <si>
    <t>ㆍPriority : Imminent and significant impact are confirmed on facility, life, limb or community without action
ㆍMajor   : ① Two or more of minimum requirement elements are missing or ineffective
               ② No risk process adequate for the scope and nature of the operations and no controls in place 
ㆍMinor  :  ① One of minimum requirement elements is missing or ineffective, or a system element is not adequately documented or is prohibited
               ② Risk process adequate for the scope and nature of the operations AND risk assessment performed but no adequate controls in place
※ Required Documents and Records
    - Legal and Customer Requirements
      ㆍCopy of customer requirements (e.g., RBA)
      ㆍTracking system for monitoring of Social and Environmental Responsibility (SER) laws, regulations, and implementation or distribution logs
      ㆍCopy of applicable laws
    - Risk Assessment and Risk Management
      ㆍProcedure to identify, evaluate and rank risks
      ㆍRecords on risk assessment when a Significant Change occurred
      ㆍListing of identified risks for the facility and risk assessment review records
      ㆍAction plans addressing highest identified risks</t>
  </si>
  <si>
    <t>DM2) Control processes</t>
  </si>
  <si>
    <t>DM201</t>
  </si>
  <si>
    <t xml:space="preserve">Ethics responsibilities and authorities are adequately and effectively defined and assigned for all employee levels (senior  managers to workers) 
     for the implementation of management systems, and for compliance with laws, regulations, and codes.
</t>
  </si>
  <si>
    <t>DM202</t>
  </si>
  <si>
    <t>Adequate and effective ethics policies and control processes are established</t>
  </si>
  <si>
    <t>ㆍPriority : Imminent and significant impact are confirmed on facility, life, limb or community without action
ㆍMajor   : Two or more of minimum requirement elements are missing or ineffective
ㆍMinor  :  One of minimum requirement elements is missing or ineffective, or a system element is not adequately documented or is prohibited
※ Required Documents and Records
    - Management Accountability and Responsibility
      ㆍOrganizational chart
      ㆍRoles and responsibilities for the management system representative, managers with human resources, ethics, labor, health &amp; safety 
         and environment responsibility
      ㆍRecords of management system reviews
    - Policies and Control Processes
      ㆍCompany policies for corresponding section
      ㆍControl Procedures Implemented
      ㆍTraining analysis, Training calendar, Training records, Training evaluations</t>
  </si>
  <si>
    <t>DM203</t>
  </si>
  <si>
    <t>An adequate and effective ethics training process is established for all managers/workers on all policy/process/job-related  aspects and performance targets</t>
  </si>
  <si>
    <t>DM3) Communications</t>
  </si>
  <si>
    <t>DM301</t>
  </si>
  <si>
    <t xml:space="preserve">An adequate and effective ongoing two-way communication process with workers, and internal and external stakeholders, where  relevant or
     necessary, is established to obtain feedback on operational ethics practices and conditions and to foster continuous  improvement
</t>
  </si>
  <si>
    <t>DM302</t>
  </si>
  <si>
    <t>An adequate and effective process is established to anonymously report ethics grievances confidentially without fear of reprisal or  intimidation</t>
  </si>
  <si>
    <t>ㆍPriority : ① Confirmed grievance without a corrective action plan
              ② Grievance has not been  investigated/addressed within 3 months  after being received
ㆍMajor   : ① Two or more of minimum requirement elements are missing or ineffective
               ② No anonymous reporting channels
               ③ No action has been taken/recorded for the grievance/complaint for 3 months
ㆍMinor  :  ① One of minimum requirement elements is missing or ineffective 
               ② A system element is not adequately documented
※ Required Documents and Records
    - Communication
      ㆍFactory rules (for example, Employee Handbook)
      ㆍProcess for communicating company SER performance and expectations to workers, suppliers and customers
    - Worker Feedback, Participation and Grievance
      ㆍInformation provided to workers and external stakeholders on how to confidentially report business ethics issues of concern
      ㆍPolicy/procedure on “whistle blowing”
      ㆍProcedure for confidential investigation and resulting actions on a “whistle blow”
      ㆍStatistics on “whistle blowing"
      ㆍDescription of formal ways for workers to participate in program development and implementation (for example, committees, task forces)
      ㆍRecords of workers grievances, disciplinary investigations and actions taken (and communicated)
      ㆍWorker surveys, complaints, and feedback provided by management</t>
  </si>
  <si>
    <t>DM4) Performance Review and Continuous Improvement</t>
  </si>
  <si>
    <t>DM401</t>
  </si>
  <si>
    <t>An adequate and effective ethics management performance review and continuous improvement process is established</t>
  </si>
  <si>
    <t>DM402</t>
  </si>
  <si>
    <t>An adequate and effective ethics self-audit process is established to assess conformance with the RBA Code and customer  requirements periodically</t>
  </si>
  <si>
    <t>ㆍMajor   : ① No Audits carried out
               ② Two or more of minimum requirement elements are missing or ineffective
               ③ Scope does not include regulatory compliance
ㆍMinor  :  ① One of minimum requirement elements is missing or ineffective
               ② A system element is not adequately documented or is prohibited
               ③ Scope includes regulatory compliance but not customer requirements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</si>
  <si>
    <t>DM403</t>
  </si>
  <si>
    <t xml:space="preserve">An adequate and effective ethics corrective action process is established to rectify and close non-conformances
</t>
  </si>
  <si>
    <t>ㆍMajor   : ①. Two or more of minimum requirement elements are missing or ineffective
               ② One or more unaddressed regulatory actions or penalties
ㆍMinor  :  ① One of minimum requirement elements is missing or ineffective
               ② A system element is not adequately  documented or is prohibited
               ③ Regulatory actions or penalties are addressed but off track and no corrective actions are taken to get them back on track
※ Required Documents and Records
    - Improvement Objectives
      ㆍCurrent year performance objectives and targets, including results of periodic reviews of the implementation and status of meeting the objectives
      ㆍCurrent improvement initiatives and progress status
    - Assessments
      ㆍAssessment process and procedure
      ㆍCopies of Assessments carried out in last 3 years Corrective Action Process
      ㆍCorrective Action management procedure
      ㆍCopies of corrective action plans of Assessments carried out in last 3 years and current status against these corrective action plans
      ㆍRecords of Nonconformance tracking, closure, status and management reviews
      ㆍLegal compliance records of citations, penalties for violations of labor / ethics laws and regulations
      ㆍLegal compliance records of EHS citations or penalties received in the past 3 years</t>
  </si>
  <si>
    <t>ES1) Company Commitment</t>
  </si>
  <si>
    <t>ES101</t>
  </si>
  <si>
    <t>Policies/codes endorsed by executive management</t>
  </si>
  <si>
    <t>An adequate and effective Code of Conduct is established and endorsed by executive management covering all elements of the RBA code</t>
  </si>
  <si>
    <t>ㆍMajor   :  ① Two or more of minimum requirement elements are missing or ineffective
                ② Does not contain commitment to continuous improvement and legal compliance
                ③ Percentage of workers not aware of code content is &gt;20%
ㆍMinor   : ① No endorsement of senior management
               ② One of minimum requirement elements is missing or ineffective, or a system element is not adequately documented or is prohibited
               ③ Percentage of workers not aware of code content is ≤20%
※ Required Documents and Records
    - Labor, Employment, Ethics, Health &amp; Safety and Environment Policy
    - Corporate Responsibility Policy - Company/facility’s Business Ethics or Code of Business Conduct policy or manual</t>
  </si>
  <si>
    <t>ES2) Materials Restrictions</t>
  </si>
  <si>
    <t>ES201</t>
  </si>
  <si>
    <t>Materials Restriction Program</t>
  </si>
  <si>
    <t>An adequate and effective program is in place for Materials Restrictions as a formal part of the procurement and manufacturing  processes</t>
  </si>
  <si>
    <t>ㆍPriority : No program is in place AND a product has been subject to regulatory action
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One of minimum requirement elements is missing or ineffective, or a system element is not adequately documented or is prohibited
※ Required Documents and Records
    - Procurement and manufacturing specifications describing how the facility meets legal and customer product content restrictions
    - Records of communication of RoHS, REACH, WEEE and other customer product content restrictions to suppliers
    - Analytical test results</t>
  </si>
  <si>
    <t>ES3) Responsible Sourcing of Minerals</t>
  </si>
  <si>
    <t>ES301</t>
  </si>
  <si>
    <t>Prohibition of using sourcing minerals</t>
  </si>
  <si>
    <t xml:space="preserve">An adequate and effective Conflict Minerals Supply Chain Policy and Management System is designed and implemented to reasonably  assure
     that the tantalum, tin, tungsten, gold, and Cobalt (3TG+C) in the products they manufacture are sourced in a way consistent  with the OECD
    Guidance for Responsible Supply Chains of Minerals from Conflict-Affected and High-Risk Areas (OECD Due Diligence  Guidance) or
    an equivalent and recognized due diligence framework
</t>
  </si>
  <si>
    <r>
      <rPr>
        <sz val="10"/>
        <rFont val="Calibri"/>
        <family val="2"/>
        <scheme val="minor"/>
      </rPr>
      <t>ㆍPriority : Confirmed purchasing of minerals from conflict sources and no action plan is in place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More than 20% of 3TG+C sources do not  have a documented due diligence in place
ㆍMinor   : Less than or equal to 20% of 3TG+C sources do not have a documented due diligence in place
ㆍN/A      : No 3TG+C mineral material or containing components
※ Required Documents and Records
    - Responsible sourcing of minerals policy/procedures
    - Risk assessment of sources of materials are either 3TG + Cobalt free or (if procured by the smelter/refinery site) are conflict</t>
    </r>
    <r>
      <rPr>
        <sz val="10"/>
        <rFont val="Calibri"/>
        <family val="2"/>
        <scheme val="minor"/>
      </rPr>
      <t>‐</t>
    </r>
    <r>
      <rPr>
        <sz val="10"/>
        <rFont val="Calibri"/>
        <family val="2"/>
        <scheme val="minor"/>
      </rPr>
      <t>free
    - Action plans on information gathering/actions to ensure responsible sourcing of minerals
    - Due Diligence records related to 3TG + C for the last 2 years</t>
    </r>
  </si>
  <si>
    <t>ES4) Supplier Responsibility</t>
  </si>
  <si>
    <t>ES401</t>
  </si>
  <si>
    <t>The CoC requirement communication to next-tier major suppliers</t>
  </si>
  <si>
    <t>The RBA Code requirements have been communicated to the next-tier suppliers</t>
  </si>
  <si>
    <t>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Percentage of workers working through Labor Agents and Contractors that cannot state how their employment terms 
                  and conditions meet the relevant labor requirements of the RBA code is &gt;20%
ㆍMinor   : Percentage of workers working through Labor Agents and Contractors that cannot state how their employment terms 
               and conditions meet the relevant labor requirements of the RBA  code is &gt;5% and ≤20%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</si>
  <si>
    <t>ES402</t>
  </si>
  <si>
    <t>The identification for next-tier major suppliers</t>
  </si>
  <si>
    <t>Next-tier major suppliers have been identified</t>
  </si>
  <si>
    <t>ㆍMajor   :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ㆍMinor   : Communication process with the next-tier major suppliers is in place, but no communication record to them
ㆍN/A      : No Suppliers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</si>
  <si>
    <t>ES403</t>
  </si>
  <si>
    <t>The RBA Code implementation process</t>
  </si>
  <si>
    <t>An adequate and effective process is established to ensure that the next-tier major suppliers implement the RBA Code</t>
  </si>
  <si>
    <t>ㆍPriority :  ① Confirmed Priority finding during the audit, which was not identified before the audit
               ② For indirect full-time assigned workers of on-site service providers, a priority non-conformance is confirmed on provision AL3  or AL4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For indirect full time assigned workers of on-site service providers a major non-conformance is confirmed on provision AL3 or AL4
ㆍMinor   : For indirect full time assigned workers of on-site service providers a minor non-conformance is confirmed on provision AL3  or AL4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</si>
  <si>
    <t>ES404</t>
  </si>
  <si>
    <t>The RBA Code improvement process</t>
  </si>
  <si>
    <t>An adequate and effective process is established to ensure suppliers' RBA Code implementation performance and continuous  improvement</t>
  </si>
  <si>
    <t>ㆍPriority :  ① No closure audits for Priority findings after CAP closure
               ② No CAPs for Priority findings
               ③ A Priority finding after CAP closure and closure audit
ㆍMajor   : ① The responsibility could be shared corporate, and the facility then complete the relevant section 1 and/or 2
                   a) If the implementation is done at a  corporate level, then verify 1), if not  complete then “Major”
                   b) if the implementation at the facility level,  then verify 2), ), if not  complete then “Major”
                   c) If the implementation at both levels, then  verify 1) and 2), then the highest of both  ratings apply
                   * section 1 = 1) = Corporate-level
                   * section 2 = 2) = Facility Level
              ② No CAP for Major findings
ㆍMinor   : Verification on corrective action is in place, but most of corrective actions are not implemented
ㆍN/A      : ES401 is Not applicable
※ Required Documents and Records
    - Communication records with suppliers for RBA code requirements
    - Contract terms and conditions requiring suppliers to conform to the RBA code
    - Next tier Major Supplier identification analysis
    - Next tier Major Supplier/Labor Agent program
    - On-site Major Supplier code conformance verification reports
    - Corrective action plan for improvement areas identified in On- site Major Supplier verification reports
    - Working Hours and wage documentation for on-site service provider workers, as appropriate</t>
  </si>
  <si>
    <t>Reference Table</t>
  </si>
  <si>
    <r>
      <rPr>
        <b/>
        <sz val="10"/>
        <color theme="1"/>
        <rFont val="돋움"/>
        <charset val="129"/>
      </rPr>
      <t>■</t>
    </r>
    <r>
      <rPr>
        <b/>
        <sz val="10"/>
        <color theme="1"/>
        <rFont val="Arial"/>
        <family val="2"/>
      </rPr>
      <t xml:space="preserve"> Prohibited recruitment and hiring fees that were paid and not reimbursed within 90 days, or as soon as practicable upon discovery.</t>
    </r>
  </si>
  <si>
    <t>Frequency/Severity in monthly gross base wages</t>
  </si>
  <si>
    <t>0-5%
(&lt;1 month gross base salary)</t>
  </si>
  <si>
    <t>5% - 100%
(&lt;1 month gross base salary)</t>
  </si>
  <si>
    <t>100% - 150%
(&gt;1 month - 1.5 month gross base salary)</t>
  </si>
  <si>
    <t>&gt;150%
(&gt; 1.5 month gross base salary)</t>
  </si>
  <si>
    <t>&lt;1% or 3 workers or fewer (whichever is greater)</t>
  </si>
  <si>
    <t>&gt;1%-5% or more than 3 workers but less than 7 workers</t>
  </si>
  <si>
    <t>&gt;5%-40% or more than 7 workers</t>
  </si>
  <si>
    <t>&gt;40%</t>
  </si>
  <si>
    <t>Weekly working hours</t>
  </si>
  <si>
    <t>Ratio ≤1%**</t>
  </si>
  <si>
    <t>1% &lt; Ratio ≤5%</t>
  </si>
  <si>
    <t>5% &lt; Ratio ≤15%</t>
  </si>
  <si>
    <t>15% &lt; Ratio ≤40%</t>
  </si>
  <si>
    <t>Ratio &gt; 40%</t>
  </si>
  <si>
    <t>Remark</t>
  </si>
  <si>
    <t>&gt; 84 hours</t>
  </si>
  <si>
    <r>
      <rPr>
        <sz val="9"/>
        <color rgb="FF0000FF"/>
        <rFont val="Arial"/>
        <family val="2"/>
      </rPr>
      <t xml:space="preserve"> - </t>
    </r>
    <r>
      <rPr>
        <b/>
        <sz val="9"/>
        <color rgb="FF0000FF"/>
        <rFont val="Arial"/>
        <family val="2"/>
      </rPr>
      <t>If anyone found, priority violation</t>
    </r>
  </si>
  <si>
    <t>72 &lt; hours &lt;= 84</t>
  </si>
  <si>
    <t>60 &lt; hours &lt;= 72</t>
  </si>
  <si>
    <t>Local law &lt; hours &lt;= 60</t>
  </si>
  <si>
    <t>hrs &lt;= 60 and hrs &lt;= local law</t>
  </si>
  <si>
    <t xml:space="preserve">Consecutive working days </t>
  </si>
  <si>
    <t>≤1%**</t>
  </si>
  <si>
    <t>&gt;1% to ≤5%</t>
  </si>
  <si>
    <t>&gt;5% to ≤40%</t>
  </si>
  <si>
    <t>24 &lt;= CWD</t>
  </si>
  <si>
    <t>12 &lt;= CWD &lt; 24</t>
  </si>
  <si>
    <t>6 &lt; CWD &lt;12</t>
  </si>
  <si>
    <r>
      <rPr>
        <sz val="9"/>
        <color rgb="FF000000"/>
        <rFont val="돋움"/>
        <charset val="129"/>
      </rPr>
      <t>≤</t>
    </r>
    <r>
      <rPr>
        <sz val="9"/>
        <color rgb="FF000000"/>
        <rFont val="Arial"/>
        <family val="2"/>
      </rPr>
      <t>6 CWD</t>
    </r>
  </si>
  <si>
    <t>Grade</t>
  </si>
  <si>
    <t>Section</t>
  </si>
  <si>
    <t>ID&amp;Grade&amp;Section</t>
  </si>
  <si>
    <t>N/A</t>
  </si>
  <si>
    <t>BH101</t>
  </si>
  <si>
    <t>EHS</t>
  </si>
  <si>
    <t>BH102</t>
  </si>
  <si>
    <t>BH103</t>
  </si>
  <si>
    <t>BH201</t>
  </si>
  <si>
    <t>BH202</t>
  </si>
  <si>
    <t>BH203</t>
  </si>
  <si>
    <t>BH204</t>
  </si>
  <si>
    <t>BH301</t>
  </si>
  <si>
    <t>BH302</t>
  </si>
  <si>
    <t>BH401</t>
  </si>
  <si>
    <t>BH501</t>
  </si>
  <si>
    <t>BH601</t>
  </si>
  <si>
    <t>BH701</t>
  </si>
  <si>
    <t>BH702</t>
  </si>
  <si>
    <t>BM101</t>
  </si>
  <si>
    <t>BM102</t>
  </si>
  <si>
    <t>BM201</t>
  </si>
  <si>
    <t>BM202</t>
  </si>
  <si>
    <t>BM203</t>
  </si>
  <si>
    <t>BM301</t>
  </si>
  <si>
    <t>BM302</t>
  </si>
  <si>
    <t>BM401</t>
  </si>
  <si>
    <t>BM402</t>
  </si>
  <si>
    <t>BM403</t>
  </si>
  <si>
    <t>CE101</t>
  </si>
  <si>
    <t>CE201</t>
  </si>
  <si>
    <t>CE301</t>
  </si>
  <si>
    <t>CE401</t>
  </si>
  <si>
    <t>CE402</t>
  </si>
  <si>
    <t>CE501</t>
  </si>
  <si>
    <t>CE601</t>
  </si>
  <si>
    <t>CM101</t>
  </si>
  <si>
    <t>CM102</t>
  </si>
  <si>
    <t>CM201</t>
  </si>
  <si>
    <t>CM202</t>
  </si>
  <si>
    <t>CM203</t>
  </si>
  <si>
    <t>CM301</t>
  </si>
  <si>
    <t>CM302</t>
  </si>
  <si>
    <t>CM401</t>
  </si>
  <si>
    <t>CM402</t>
  </si>
  <si>
    <t>CM403</t>
  </si>
  <si>
    <r>
      <rPr>
        <b/>
        <sz val="10"/>
        <color theme="1"/>
        <rFont val="Calibri"/>
        <family val="2"/>
        <scheme val="minor"/>
      </rPr>
      <t xml:space="preserve">Audit findings:
</t>
    </r>
    <r>
      <rPr>
        <sz val="10"/>
        <color theme="1"/>
        <rFont val="Calibri"/>
        <family val="2"/>
        <scheme val="minor"/>
      </rPr>
      <t xml:space="preserve">1: Nội quy lao động, điều 20. Ra vào công ty quy định "phải có giấy ra cổng có đầy đủ chữ ký của quản lý và trưởng bộ phận người Hàn". 
</t>
    </r>
    <r>
      <rPr>
        <b/>
        <sz val="10"/>
        <color theme="1"/>
        <rFont val="Calibri"/>
        <family val="2"/>
        <scheme val="minor"/>
      </rPr>
      <t>Legal references:</t>
    </r>
    <r>
      <rPr>
        <sz val="10"/>
        <color theme="1"/>
        <rFont val="Calibri"/>
        <family val="2"/>
        <scheme val="minor"/>
      </rPr>
      <t xml:space="preserve">  RBA</t>
    </r>
  </si>
  <si>
    <r>
      <rPr>
        <b/>
        <sz val="10"/>
        <color theme="1"/>
        <rFont val="Calibri"/>
        <family val="2"/>
        <scheme val="minor"/>
      </rPr>
      <t xml:space="preserve">Audit findings:
</t>
    </r>
    <r>
      <rPr>
        <sz val="10"/>
        <color theme="1"/>
        <rFont val="Calibri"/>
        <family val="2"/>
        <scheme val="minor"/>
      </rPr>
      <t xml:space="preserve">1: Công ty bảo vệ Đăng Quang vi phạm một số điều khoản của RBA như: ký hợp đồng 1 năm 1 lần, 14% nhân viên vi phạm thời gian làm việc (60~72 giờ/tuần) và làm từ 7~12 ngày liên tục.
</t>
    </r>
    <r>
      <rPr>
        <b/>
        <sz val="10"/>
        <color theme="1"/>
        <rFont val="Calibri"/>
        <family val="2"/>
        <scheme val="minor"/>
      </rPr>
      <t>Legal references:</t>
    </r>
    <r>
      <rPr>
        <sz val="10"/>
        <color theme="1"/>
        <rFont val="Calibri"/>
        <family val="2"/>
        <scheme val="minor"/>
      </rPr>
      <t xml:space="preserve">  </t>
    </r>
  </si>
  <si>
    <r>
      <rPr>
        <b/>
        <sz val="10"/>
        <color theme="1"/>
        <rFont val="Calibri"/>
        <family val="2"/>
        <scheme val="minor"/>
      </rPr>
      <t xml:space="preserve">Audit findings:
</t>
    </r>
    <r>
      <rPr>
        <sz val="10"/>
        <color theme="1"/>
        <rFont val="Calibri"/>
        <family val="2"/>
        <scheme val="minor"/>
      </rPr>
      <t xml:space="preserve">1: Cập nhật luật và yêu cầu khách hàng chưa đầy đủ: chưa tiến hành đánh giá tuân thủ luật, đánh giá rủi ro cũng như chưa có báo cáo tổng hợp kết quả đánh giá hàng quý.
</t>
    </r>
    <r>
      <rPr>
        <b/>
        <sz val="10"/>
        <color theme="1"/>
        <rFont val="Calibri"/>
        <family val="2"/>
        <scheme val="minor"/>
      </rPr>
      <t>Legal references:</t>
    </r>
    <r>
      <rPr>
        <sz val="10"/>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</si>
</sst>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 #,##0_-;\-* #,##0_-;_-* &quot;-&quot;_-;_-@_-"/>
    <numFmt numFmtId="165" formatCode="_-* #,##0.0_-;\-* #,##0.0_-;_-* &quot;-&quot;_-;_-@_-"/>
    <numFmt numFmtId="166" formatCode="yyyy\-mm\-dd;@"/>
    <numFmt numFmtId="167" formatCode="0.0%"/>
    <numFmt numFmtId="168" formatCode="_(* #,##0_);_(* \(#,##0\);_(* &quot;-&quot;??_);_(@_)"/>
    <numFmt numFmtId="169" formatCode="_(&quot;$&quot;* #,##0_);_(&quot;$&quot;* \(#,##0\);_(&quot;$&quot;* &quot;-&quot;??_);_(@_)"/>
    <numFmt numFmtId="170" formatCode="[$-409]d\-mmm\-yyyy;@"/>
  </numFmts>
  <fonts count="61">
    <font>
      <sz val="11"/>
      <color theme="1"/>
      <name val="Calibri"/>
      <charset val="129"/>
      <scheme val="minor"/>
    </font>
    <font>
      <sz val="10"/>
      <name val="Arial"/>
      <family val="2"/>
    </font>
    <font>
      <sz val="11"/>
      <color theme="1"/>
      <name val="Arial"/>
      <family val="2"/>
    </font>
    <font>
      <sz val="10"/>
      <color theme="1"/>
      <name val="Calibri"/>
      <family val="2"/>
      <scheme val="minor"/>
    </font>
    <font>
      <b/>
      <sz val="11"/>
      <name val="Arial"/>
      <family val="2"/>
    </font>
    <font>
      <b/>
      <sz val="11"/>
      <color theme="1"/>
      <name val="Arial"/>
      <family val="2"/>
    </font>
    <font>
      <b/>
      <sz val="10"/>
      <color theme="1"/>
      <name val="Arial"/>
      <family val="2"/>
    </font>
    <font>
      <u/>
      <sz val="9"/>
      <color theme="1"/>
      <name val="Arial"/>
      <family val="2"/>
    </font>
    <font>
      <sz val="9"/>
      <color rgb="FF000000"/>
      <name val="맑은 고딕"/>
      <charset val="129"/>
    </font>
    <font>
      <sz val="10"/>
      <color rgb="FF000000"/>
      <name val="Arial"/>
      <family val="2"/>
    </font>
    <font>
      <sz val="8"/>
      <color rgb="FF000000"/>
      <name val="맑은 고딕"/>
      <charset val="129"/>
    </font>
    <font>
      <sz val="8"/>
      <color rgb="FFFFFFFF"/>
      <name val="맑은 고딕"/>
      <charset val="129"/>
    </font>
    <font>
      <sz val="9"/>
      <color theme="1"/>
      <name val="Arial"/>
      <family val="2"/>
    </font>
    <font>
      <b/>
      <sz val="9"/>
      <color theme="1"/>
      <name val="Arial"/>
      <family val="2"/>
    </font>
    <font>
      <b/>
      <sz val="10"/>
      <color rgb="FF000000"/>
      <name val="Arial"/>
      <family val="2"/>
    </font>
    <font>
      <b/>
      <sz val="10"/>
      <color rgb="FF000000"/>
      <name val="맑은 고딕"/>
      <charset val="129"/>
    </font>
    <font>
      <sz val="10"/>
      <color rgb="FFFFFFFF"/>
      <name val="맑은 고딕"/>
      <charset val="129"/>
    </font>
    <font>
      <sz val="9"/>
      <color rgb="FF0000FF"/>
      <name val="Arial"/>
      <family val="2"/>
    </font>
    <font>
      <sz val="10"/>
      <color rgb="FF000000"/>
      <name val="맑은 고딕"/>
      <charset val="129"/>
    </font>
    <font>
      <sz val="18"/>
      <name val="Arial"/>
      <family val="2"/>
    </font>
    <font>
      <b/>
      <sz val="9"/>
      <color rgb="FF000000"/>
      <name val="Arial"/>
      <family val="2"/>
    </font>
    <font>
      <sz val="9"/>
      <color rgb="FF000000"/>
      <name val="Arial"/>
      <family val="2"/>
    </font>
    <font>
      <sz val="11"/>
      <name val="Calibri"/>
      <family val="2"/>
      <scheme val="minor"/>
    </font>
    <font>
      <sz val="10"/>
      <name val="Calibri"/>
      <family val="2"/>
      <scheme val="minor"/>
    </font>
    <font>
      <sz val="11"/>
      <name val="Calibri"/>
      <family val="2"/>
      <scheme val="minor"/>
    </font>
    <font>
      <b/>
      <sz val="1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color rgb="FFFF0000"/>
      <name val="맑은 고딕"/>
      <charset val="134"/>
    </font>
    <font>
      <b/>
      <sz val="11"/>
      <color rgb="FFFF0000"/>
      <name val="Calibri"/>
      <family val="2"/>
      <scheme val="minor"/>
    </font>
    <font>
      <sz val="11"/>
      <color rgb="FFFF0000"/>
      <name val="Calibri"/>
      <family val="2"/>
      <scheme val="minor"/>
    </font>
    <font>
      <b/>
      <sz val="11"/>
      <name val="Calibri"/>
      <family val="2"/>
      <scheme val="minor"/>
    </font>
    <font>
      <sz val="9"/>
      <color rgb="FF0000FF"/>
      <name val="Calibri"/>
      <family val="2"/>
      <scheme val="minor"/>
    </font>
    <font>
      <sz val="10"/>
      <name val="Calibri"/>
      <family val="2"/>
      <scheme val="minor"/>
    </font>
    <font>
      <sz val="10"/>
      <color theme="1"/>
      <name val="Calibri"/>
      <family val="2"/>
      <scheme val="minor"/>
    </font>
    <font>
      <sz val="10"/>
      <name val="Calibri"/>
      <family val="2"/>
      <scheme val="minor"/>
    </font>
    <font>
      <sz val="10"/>
      <color rgb="FF0000FF"/>
      <name val="Calibri"/>
      <family val="2"/>
      <scheme val="minor"/>
    </font>
    <font>
      <sz val="10"/>
      <color indexed="8"/>
      <name val="Calibri"/>
      <family val="2"/>
      <scheme val="minor"/>
    </font>
    <font>
      <sz val="20"/>
      <color theme="1"/>
      <name val="Calibri"/>
      <family val="2"/>
      <scheme val="minor"/>
    </font>
    <font>
      <b/>
      <u/>
      <sz val="20"/>
      <color theme="1"/>
      <name val="Calibri"/>
      <family val="2"/>
      <scheme val="minor"/>
    </font>
    <font>
      <b/>
      <u/>
      <sz val="20"/>
      <color theme="1"/>
      <name val="Calibri"/>
      <family val="2"/>
      <scheme val="minor"/>
    </font>
    <font>
      <u/>
      <sz val="10"/>
      <color theme="10"/>
      <name val="Calibri"/>
      <family val="2"/>
      <scheme val="minor"/>
    </font>
    <font>
      <b/>
      <sz val="36"/>
      <color theme="1"/>
      <name val="Times New Roman"/>
      <family val="1"/>
    </font>
    <font>
      <b/>
      <sz val="18"/>
      <color theme="1"/>
      <name val="Times New Roman"/>
      <family val="1"/>
    </font>
    <font>
      <sz val="18"/>
      <color theme="1"/>
      <name val="Times New Roman"/>
      <family val="1"/>
    </font>
    <font>
      <sz val="20"/>
      <color theme="1"/>
      <name val="Times New Roman"/>
      <family val="1"/>
    </font>
    <font>
      <u/>
      <sz val="18"/>
      <color theme="10"/>
      <name val="Calibri"/>
      <family val="2"/>
      <scheme val="minor"/>
    </font>
    <font>
      <sz val="18"/>
      <color rgb="FF0000FF"/>
      <name val="Times New Roman"/>
      <family val="1"/>
    </font>
    <font>
      <b/>
      <sz val="20"/>
      <color theme="1"/>
      <name val="Times New Roman"/>
      <family val="1"/>
    </font>
    <font>
      <b/>
      <sz val="20"/>
      <color indexed="8"/>
      <name val="Times New Roman"/>
      <family val="1"/>
    </font>
    <font>
      <b/>
      <sz val="20"/>
      <color rgb="FF0070C0"/>
      <name val="Times New Roman"/>
      <family val="1"/>
    </font>
    <font>
      <b/>
      <i/>
      <sz val="20"/>
      <color theme="1"/>
      <name val="Times New Roman"/>
      <family val="1"/>
    </font>
    <font>
      <u/>
      <sz val="11"/>
      <color theme="10"/>
      <name val="Calibri"/>
      <family val="2"/>
      <scheme val="minor"/>
    </font>
    <font>
      <u/>
      <sz val="11"/>
      <color theme="10"/>
      <name val="Calibri"/>
      <family val="2"/>
      <scheme val="minor"/>
    </font>
    <font>
      <b/>
      <sz val="10"/>
      <color theme="1"/>
      <name val="Calibri"/>
      <family val="2"/>
      <scheme val="minor"/>
    </font>
    <font>
      <b/>
      <sz val="9"/>
      <color rgb="FF0000FF"/>
      <name val="Arial"/>
      <family val="2"/>
    </font>
    <font>
      <b/>
      <sz val="10"/>
      <color rgb="FF0000FF"/>
      <name val="Calibri"/>
      <family val="2"/>
      <scheme val="minor"/>
    </font>
    <font>
      <b/>
      <sz val="10"/>
      <color theme="1"/>
      <name val="돋움"/>
      <charset val="129"/>
    </font>
    <font>
      <sz val="9"/>
      <color rgb="FF000000"/>
      <name val="돋움"/>
      <charset val="129"/>
    </font>
    <font>
      <sz val="11"/>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8" tint="0.79992065187536243"/>
        <bgColor indexed="64"/>
      </patternFill>
    </fill>
    <fill>
      <patternFill patternType="solid">
        <fgColor rgb="FFEAEAEA"/>
        <bgColor indexed="64"/>
      </patternFill>
    </fill>
    <fill>
      <patternFill patternType="solid">
        <fgColor rgb="FFFFC000"/>
        <bgColor indexed="64"/>
      </patternFill>
    </fill>
    <fill>
      <patternFill patternType="solid">
        <fgColor rgb="FFFF0000"/>
        <bgColor indexed="64"/>
      </patternFill>
    </fill>
    <fill>
      <patternFill patternType="solid">
        <fgColor rgb="FF000000"/>
        <bgColor indexed="64"/>
      </patternFill>
    </fill>
    <fill>
      <patternFill patternType="solid">
        <fgColor rgb="FFE5E0EC"/>
        <bgColor indexed="64"/>
      </patternFill>
    </fill>
    <fill>
      <patternFill patternType="solid">
        <fgColor rgb="FFF2F2F2"/>
        <bgColor indexed="64"/>
      </patternFill>
    </fill>
    <fill>
      <patternFill patternType="solid">
        <fgColor rgb="FFC3D69B"/>
        <bgColor indexed="64"/>
      </patternFill>
    </fill>
    <fill>
      <patternFill patternType="solid">
        <fgColor indexed="22"/>
        <bgColor indexed="64"/>
      </patternFill>
    </fill>
    <fill>
      <patternFill patternType="solid">
        <fgColor indexed="43"/>
        <bgColor indexed="64"/>
      </patternFill>
    </fill>
    <fill>
      <patternFill patternType="solid">
        <fgColor indexed="65"/>
        <bgColor indexed="64"/>
      </patternFill>
    </fill>
    <fill>
      <patternFill patternType="solid">
        <fgColor theme="0"/>
        <bgColor indexed="64"/>
      </patternFill>
    </fill>
    <fill>
      <patternFill patternType="solid">
        <fgColor indexed="45"/>
        <bgColor indexed="64"/>
      </patternFill>
    </fill>
    <fill>
      <patternFill patternType="solid">
        <fgColor indexed="44"/>
        <bgColor indexed="64"/>
      </patternFill>
    </fill>
    <fill>
      <patternFill patternType="solid">
        <fgColor theme="4" tint="0.79992065187536243"/>
        <bgColor indexed="64"/>
      </patternFill>
    </fill>
    <fill>
      <patternFill patternType="solid">
        <fgColor theme="6" tint="0.79992065187536243"/>
        <bgColor indexed="64"/>
      </patternFill>
    </fill>
    <fill>
      <patternFill patternType="solid">
        <fgColor theme="4" tint="0.59999389629810485"/>
        <bgColor indexed="64"/>
      </patternFill>
    </fill>
  </fills>
  <borders count="42">
    <border>
      <left/>
      <right/>
      <top/>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ck">
        <color auto="1"/>
      </right>
      <top/>
      <bottom/>
      <diagonal/>
    </border>
    <border>
      <left style="thick">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ck">
        <color auto="1"/>
      </left>
      <right/>
      <top/>
      <bottom/>
      <diagonal/>
    </border>
    <border>
      <left style="thick">
        <color auto="1"/>
      </left>
      <right style="thin">
        <color auto="1"/>
      </right>
      <top style="thin">
        <color auto="1"/>
      </top>
      <bottom/>
      <diagonal/>
    </border>
    <border>
      <left style="thin">
        <color auto="1"/>
      </left>
      <right style="thick">
        <color auto="1"/>
      </right>
      <top style="thin">
        <color auto="1"/>
      </top>
      <bottom style="thin">
        <color auto="1"/>
      </bottom>
      <diagonal/>
    </border>
    <border>
      <left style="thick">
        <color auto="1"/>
      </left>
      <right style="thin">
        <color auto="1"/>
      </right>
      <top/>
      <bottom/>
      <diagonal/>
    </border>
    <border>
      <left style="thin">
        <color auto="1"/>
      </left>
      <right/>
      <top style="thin">
        <color rgb="FF7F7F7F"/>
      </top>
      <bottom style="thin">
        <color rgb="FF7F7F7F"/>
      </bottom>
      <diagonal/>
    </border>
    <border>
      <left/>
      <right/>
      <top style="thin">
        <color rgb="FF7F7F7F"/>
      </top>
      <bottom style="thin">
        <color rgb="FF7F7F7F"/>
      </bottom>
      <diagonal/>
    </border>
    <border>
      <left/>
      <right style="thin">
        <color auto="1"/>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ck">
        <color auto="1"/>
      </left>
      <right style="thin">
        <color auto="1"/>
      </right>
      <top/>
      <bottom style="thick">
        <color auto="1"/>
      </bottom>
      <diagonal/>
    </border>
    <border>
      <left style="thin">
        <color auto="1"/>
      </left>
      <right/>
      <top style="thin">
        <color auto="1"/>
      </top>
      <bottom style="thick">
        <color auto="1"/>
      </bottom>
      <diagonal/>
    </border>
    <border>
      <left/>
      <right/>
      <top style="thin">
        <color auto="1"/>
      </top>
      <bottom style="thick">
        <color auto="1"/>
      </bottom>
      <diagonal/>
    </border>
    <border>
      <left/>
      <right style="thin">
        <color rgb="FF7F7F7F"/>
      </right>
      <top style="thin">
        <color auto="1"/>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ck">
        <color auto="1"/>
      </bottom>
      <diagonal/>
    </border>
    <border>
      <left style="thin">
        <color auto="1"/>
      </left>
      <right/>
      <top style="thick">
        <color auto="1"/>
      </top>
      <bottom style="thick">
        <color auto="1"/>
      </bottom>
      <diagonal/>
    </border>
    <border>
      <left style="thick">
        <color auto="1"/>
      </left>
      <right style="thin">
        <color auto="1"/>
      </right>
      <top style="thin">
        <color auto="1"/>
      </top>
      <bottom style="thick">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auto="1"/>
      </left>
      <right style="thin">
        <color auto="1"/>
      </right>
      <top style="double">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10">
    <xf numFmtId="0" fontId="0" fillId="0" borderId="0">
      <alignment vertical="center"/>
    </xf>
    <xf numFmtId="43" fontId="60" fillId="0" borderId="0" applyFont="0" applyFill="0" applyBorder="0" applyAlignment="0" applyProtection="0"/>
    <xf numFmtId="9" fontId="60" fillId="0" borderId="0" applyFont="0" applyFill="0" applyBorder="0" applyAlignment="0" applyProtection="0">
      <alignment vertical="center"/>
    </xf>
    <xf numFmtId="164" fontId="60" fillId="0" borderId="0" applyFont="0" applyFill="0" applyBorder="0" applyAlignment="0" applyProtection="0">
      <alignment vertical="center"/>
    </xf>
    <xf numFmtId="0" fontId="53" fillId="0" borderId="0" applyNumberFormat="0" applyFill="0" applyBorder="0" applyAlignment="0" applyProtection="0"/>
    <xf numFmtId="44" fontId="60" fillId="0" borderId="0" applyFont="0" applyFill="0" applyBorder="0" applyAlignment="0" applyProtection="0"/>
    <xf numFmtId="0" fontId="54" fillId="0" borderId="0" applyNumberFormat="0" applyFill="0" applyBorder="0" applyAlignment="0" applyProtection="0">
      <alignment vertical="center"/>
    </xf>
    <xf numFmtId="0" fontId="60" fillId="0" borderId="0">
      <alignment vertical="center"/>
    </xf>
    <xf numFmtId="0" fontId="1" fillId="0" borderId="0"/>
    <xf numFmtId="0" fontId="60" fillId="0" borderId="0">
      <alignment vertical="center"/>
    </xf>
  </cellStyleXfs>
  <cellXfs count="197">
    <xf numFmtId="0" fontId="0" fillId="0" borderId="0" xfId="0">
      <alignment vertical="center"/>
    </xf>
    <xf numFmtId="0" fontId="0" fillId="0" borderId="0" xfId="0" applyAlignment="1">
      <alignment horizontal="center" vertical="center"/>
    </xf>
    <xf numFmtId="165" fontId="0" fillId="0" borderId="0" xfId="3" applyNumberFormat="1" applyFont="1" applyFill="1">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165" fontId="2" fillId="0" borderId="1" xfId="3" applyNumberFormat="1" applyFont="1" applyFill="1" applyBorder="1" applyAlignment="1">
      <alignment horizontal="center" vertical="center"/>
    </xf>
    <xf numFmtId="165" fontId="3" fillId="0" borderId="1" xfId="3" applyNumberFormat="1" applyFont="1" applyFill="1" applyBorder="1">
      <alignment vertical="center"/>
    </xf>
    <xf numFmtId="165" fontId="0" fillId="0" borderId="1" xfId="3" applyNumberFormat="1" applyFont="1" applyFill="1" applyBorder="1">
      <alignment vertical="center"/>
    </xf>
    <xf numFmtId="0" fontId="2" fillId="2" borderId="1" xfId="0" applyFont="1" applyFill="1" applyBorder="1" applyAlignment="1">
      <alignment horizontal="center" vertical="center"/>
    </xf>
    <xf numFmtId="165" fontId="2" fillId="2" borderId="1" xfId="3" applyNumberFormat="1" applyFont="1" applyFill="1" applyBorder="1" applyAlignment="1">
      <alignment horizontal="center" vertical="center"/>
    </xf>
    <xf numFmtId="0" fontId="4" fillId="3" borderId="2" xfId="0" applyFont="1" applyFill="1" applyBorder="1" applyAlignment="1" applyProtection="1">
      <alignment horizontal="center" vertical="center" wrapText="1"/>
      <protection locked="0"/>
    </xf>
    <xf numFmtId="0" fontId="2" fillId="0" borderId="0" xfId="0" applyFont="1">
      <alignment vertical="center"/>
    </xf>
    <xf numFmtId="0" fontId="0" fillId="0" borderId="9" xfId="0" applyBorder="1">
      <alignment vertical="center"/>
    </xf>
    <xf numFmtId="0" fontId="0" fillId="0" borderId="10" xfId="0" applyBorder="1">
      <alignment vertical="center"/>
    </xf>
    <xf numFmtId="0" fontId="7" fillId="0" borderId="12" xfId="0" applyFont="1" applyBorder="1" applyAlignment="1">
      <alignment horizontal="center" vertical="center" wrapText="1"/>
    </xf>
    <xf numFmtId="0" fontId="8" fillId="4" borderId="13" xfId="0" applyFont="1" applyFill="1" applyBorder="1" applyAlignment="1">
      <alignment horizontal="center" vertical="center" wrapText="1"/>
    </xf>
    <xf numFmtId="0" fontId="8" fillId="0" borderId="0" xfId="0" applyFont="1" applyAlignment="1">
      <alignment horizontal="center" vertical="center" wrapText="1"/>
    </xf>
    <xf numFmtId="0" fontId="8" fillId="0" borderId="10" xfId="0" applyFont="1" applyBorder="1" applyAlignment="1">
      <alignment horizontal="center" vertical="center" wrapText="1"/>
    </xf>
    <xf numFmtId="0" fontId="9" fillId="0" borderId="13" xfId="0" applyFont="1" applyBorder="1" applyAlignment="1">
      <alignment horizontal="center" vertical="center" wrapText="1"/>
    </xf>
    <xf numFmtId="0" fontId="10" fillId="5"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11" fillId="0" borderId="0" xfId="0" applyFont="1" applyAlignment="1">
      <alignment horizontal="center" vertical="center" wrapText="1"/>
    </xf>
    <xf numFmtId="0" fontId="11" fillId="0" borderId="10" xfId="0" applyFont="1" applyBorder="1" applyAlignment="1">
      <alignment horizontal="center" vertical="center" wrapText="1"/>
    </xf>
    <xf numFmtId="0" fontId="12" fillId="0" borderId="14" xfId="0" applyFont="1" applyBorder="1" applyAlignment="1">
      <alignment horizontal="center" vertical="center"/>
    </xf>
    <xf numFmtId="0" fontId="12"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2" fillId="0" borderId="10" xfId="0" applyFont="1" applyBorder="1">
      <alignment vertical="center"/>
    </xf>
    <xf numFmtId="0" fontId="14" fillId="8" borderId="1"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4" fillId="8" borderId="16" xfId="0" applyFont="1" applyFill="1" applyBorder="1" applyAlignment="1">
      <alignment horizontal="center" vertical="center" wrapText="1"/>
    </xf>
    <xf numFmtId="0" fontId="9" fillId="0" borderId="1" xfId="0" applyFont="1" applyBorder="1" applyAlignment="1">
      <alignment horizontal="center" vertical="center" wrapText="1"/>
    </xf>
    <xf numFmtId="0" fontId="17" fillId="0" borderId="16" xfId="0" applyFont="1" applyBorder="1" applyAlignment="1">
      <alignment horizontal="left" vertical="center" wrapText="1"/>
    </xf>
    <xf numFmtId="0" fontId="18" fillId="10" borderId="13" xfId="0" applyFont="1" applyFill="1" applyBorder="1" applyAlignment="1">
      <alignment horizontal="center" vertical="center" wrapText="1"/>
    </xf>
    <xf numFmtId="0" fontId="18" fillId="5" borderId="13"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6" fillId="7" borderId="13" xfId="0" applyFont="1" applyFill="1" applyBorder="1" applyAlignment="1">
      <alignment horizontal="center" vertical="center" wrapText="1"/>
    </xf>
    <xf numFmtId="0" fontId="9" fillId="0" borderId="16" xfId="0" applyFont="1" applyBorder="1" applyAlignment="1">
      <alignment horizontal="left" vertical="center" wrapText="1"/>
    </xf>
    <xf numFmtId="0" fontId="19" fillId="0" borderId="16" xfId="0" applyFont="1" applyBorder="1" applyAlignment="1">
      <alignment vertical="center" wrapText="1"/>
    </xf>
    <xf numFmtId="0" fontId="2" fillId="0" borderId="14" xfId="0" applyFont="1" applyBorder="1">
      <alignment vertical="center"/>
    </xf>
    <xf numFmtId="0" fontId="20" fillId="9" borderId="21" xfId="0" applyFont="1" applyFill="1" applyBorder="1" applyAlignment="1">
      <alignment horizontal="center" vertical="center" wrapText="1"/>
    </xf>
    <xf numFmtId="0" fontId="20" fillId="0" borderId="0" xfId="0" applyFont="1" applyAlignment="1">
      <alignment horizontal="center" vertical="center" wrapText="1"/>
    </xf>
    <xf numFmtId="0" fontId="21" fillId="0" borderId="21" xfId="0" applyFont="1" applyBorder="1" applyAlignment="1">
      <alignment horizontal="center" vertical="center" wrapText="1"/>
    </xf>
    <xf numFmtId="0" fontId="21" fillId="0" borderId="23" xfId="0" applyFont="1" applyBorder="1" applyAlignment="1">
      <alignment horizontal="center" vertical="center" wrapText="1"/>
    </xf>
    <xf numFmtId="0" fontId="18" fillId="10" borderId="24"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6" borderId="24" xfId="0" applyFont="1" applyFill="1" applyBorder="1" applyAlignment="1">
      <alignment horizontal="center" vertical="center" wrapText="1"/>
    </xf>
    <xf numFmtId="0" fontId="21" fillId="0" borderId="26" xfId="0" applyFont="1" applyBorder="1" applyAlignment="1">
      <alignment horizontal="center" vertical="center" wrapText="1"/>
    </xf>
    <xf numFmtId="0" fontId="20" fillId="0" borderId="29" xfId="0" applyFont="1" applyBorder="1" applyAlignment="1">
      <alignment horizontal="center" vertical="center" wrapText="1"/>
    </xf>
    <xf numFmtId="0" fontId="2" fillId="0" borderId="30" xfId="0" applyFont="1" applyBorder="1">
      <alignment vertical="center"/>
    </xf>
    <xf numFmtId="0" fontId="22" fillId="0" borderId="0" xfId="0" applyFont="1" applyAlignment="1" applyProtection="1">
      <alignment wrapText="1"/>
      <protection locked="0"/>
    </xf>
    <xf numFmtId="0" fontId="23" fillId="0" borderId="0" xfId="0" applyFont="1" applyAlignment="1" applyProtection="1">
      <alignment wrapText="1"/>
      <protection locked="0"/>
    </xf>
    <xf numFmtId="0" fontId="23" fillId="0" borderId="0" xfId="0" applyFont="1" applyProtection="1">
      <alignment vertical="center"/>
      <protection locked="0"/>
    </xf>
    <xf numFmtId="0" fontId="23" fillId="0" borderId="0" xfId="0" applyFont="1" applyAlignment="1" applyProtection="1">
      <protection locked="0"/>
    </xf>
    <xf numFmtId="0" fontId="24" fillId="0" borderId="0" xfId="0" applyFont="1" applyAlignment="1" applyProtection="1">
      <alignment vertical="center" wrapText="1"/>
      <protection locked="0"/>
    </xf>
    <xf numFmtId="0" fontId="24" fillId="0" borderId="0" xfId="0" applyFont="1" applyAlignment="1" applyProtection="1">
      <alignment horizontal="center" wrapText="1"/>
      <protection locked="0"/>
    </xf>
    <xf numFmtId="0" fontId="24" fillId="0" borderId="0" xfId="0" applyFont="1" applyAlignment="1" applyProtection="1">
      <alignment horizontal="center" vertical="center" wrapText="1"/>
      <protection locked="0"/>
    </xf>
    <xf numFmtId="0" fontId="24" fillId="0" borderId="0" xfId="0" applyFont="1" applyAlignment="1" applyProtection="1">
      <alignment horizontal="left" vertical="top" wrapText="1"/>
      <protection locked="0"/>
    </xf>
    <xf numFmtId="0" fontId="24" fillId="0" borderId="0" xfId="0" applyFont="1" applyAlignment="1" applyProtection="1">
      <alignment wrapText="1"/>
      <protection locked="0"/>
    </xf>
    <xf numFmtId="0" fontId="25" fillId="0" borderId="1" xfId="0" applyFont="1" applyBorder="1" applyAlignment="1" applyProtection="1">
      <alignment horizontal="center" vertical="center" shrinkToFit="1"/>
      <protection locked="0"/>
    </xf>
    <xf numFmtId="0" fontId="25" fillId="2" borderId="1" xfId="0" applyFont="1" applyFill="1" applyBorder="1" applyAlignment="1" applyProtection="1">
      <alignment horizontal="center" vertical="center" wrapText="1"/>
      <protection locked="0"/>
    </xf>
    <xf numFmtId="0" fontId="25" fillId="0" borderId="31" xfId="0" applyFont="1" applyBorder="1" applyAlignment="1" applyProtection="1">
      <alignment horizontal="center" vertical="center"/>
      <protection locked="0"/>
    </xf>
    <xf numFmtId="166" fontId="25" fillId="2" borderId="1" xfId="0" applyNumberFormat="1" applyFont="1" applyFill="1" applyBorder="1" applyAlignment="1" applyProtection="1">
      <alignment horizontal="center" vertical="center"/>
      <protection locked="0"/>
    </xf>
    <xf numFmtId="0" fontId="24" fillId="0" borderId="0" xfId="0" applyFont="1" applyAlignment="1" applyProtection="1">
      <alignment horizontal="left" vertical="center"/>
      <protection locked="0"/>
    </xf>
    <xf numFmtId="0" fontId="24" fillId="0" borderId="0" xfId="0" applyFont="1" applyAlignment="1">
      <alignment horizontal="left" vertical="center"/>
    </xf>
    <xf numFmtId="0" fontId="24" fillId="0" borderId="1" xfId="0" applyFont="1" applyBorder="1" applyAlignment="1">
      <alignment horizontal="center" vertical="top" wrapText="1"/>
    </xf>
    <xf numFmtId="9" fontId="22" fillId="0" borderId="1" xfId="2" applyFont="1" applyFill="1" applyBorder="1" applyAlignment="1" applyProtection="1">
      <alignment horizontal="center" vertical="center" wrapText="1"/>
    </xf>
    <xf numFmtId="0" fontId="25" fillId="0" borderId="31" xfId="0" applyFont="1" applyBorder="1" applyAlignment="1" applyProtection="1">
      <alignment horizontal="center" vertical="center" shrinkToFit="1"/>
      <protection locked="0"/>
    </xf>
    <xf numFmtId="0" fontId="24" fillId="2" borderId="32" xfId="0" applyFont="1" applyFill="1" applyBorder="1" applyAlignment="1" applyProtection="1">
      <alignment horizontal="center" vertical="center"/>
      <protection locked="0"/>
    </xf>
    <xf numFmtId="0" fontId="25" fillId="0" borderId="2" xfId="0" applyFont="1" applyBorder="1" applyAlignment="1" applyProtection="1">
      <alignment horizontal="center" vertical="center"/>
      <protection locked="0"/>
    </xf>
    <xf numFmtId="165" fontId="25" fillId="3" borderId="33" xfId="3" applyNumberFormat="1" applyFont="1" applyFill="1" applyBorder="1" applyAlignment="1" applyProtection="1">
      <alignment horizontal="center" wrapText="1"/>
    </xf>
    <xf numFmtId="0" fontId="26" fillId="0" borderId="0" xfId="0" applyFont="1" applyAlignment="1" applyProtection="1">
      <alignment horizontal="left" vertical="center"/>
      <protection locked="0"/>
    </xf>
    <xf numFmtId="0" fontId="26" fillId="0" borderId="0" xfId="0" applyFont="1" applyAlignment="1">
      <alignment horizontal="left" vertical="center"/>
    </xf>
    <xf numFmtId="0" fontId="22" fillId="0" borderId="1" xfId="0" applyFont="1" applyBorder="1" applyAlignment="1">
      <alignment horizontal="center" vertical="top" wrapText="1"/>
    </xf>
    <xf numFmtId="0" fontId="22" fillId="0" borderId="1" xfId="0" applyFont="1" applyBorder="1" applyAlignment="1">
      <alignment horizontal="center" vertical="center" wrapText="1"/>
    </xf>
    <xf numFmtId="0" fontId="25" fillId="0" borderId="34" xfId="0" applyFont="1" applyBorder="1" applyAlignment="1" applyProtection="1">
      <alignment horizontal="center" vertical="center"/>
      <protection locked="0"/>
    </xf>
    <xf numFmtId="165" fontId="27" fillId="3" borderId="35" xfId="3" applyNumberFormat="1" applyFont="1" applyFill="1" applyBorder="1" applyProtection="1">
      <alignment vertical="center"/>
    </xf>
    <xf numFmtId="0" fontId="25" fillId="0" borderId="36" xfId="0" applyFont="1" applyBorder="1" applyAlignment="1" applyProtection="1">
      <alignment horizontal="center" vertical="center"/>
      <protection locked="0"/>
    </xf>
    <xf numFmtId="0" fontId="28" fillId="0" borderId="0" xfId="0" applyFont="1" applyAlignment="1" applyProtection="1">
      <alignment horizontal="center" vertical="center"/>
      <protection locked="0"/>
    </xf>
    <xf numFmtId="0" fontId="28" fillId="0" borderId="0" xfId="0" applyFont="1" applyAlignment="1">
      <alignment horizontal="center" vertical="center"/>
    </xf>
    <xf numFmtId="0" fontId="29" fillId="0" borderId="0" xfId="0" applyFont="1" applyProtection="1">
      <alignment vertical="center"/>
      <protection locked="0"/>
    </xf>
    <xf numFmtId="0" fontId="30" fillId="0" borderId="0" xfId="0" applyFont="1" applyAlignment="1" applyProtection="1">
      <alignment horizontal="center" vertical="center" wrapText="1"/>
      <protection locked="0"/>
    </xf>
    <xf numFmtId="0" fontId="31" fillId="0" borderId="0" xfId="0" applyFont="1" applyAlignment="1" applyProtection="1">
      <alignment horizontal="center" wrapText="1"/>
      <protection locked="0"/>
    </xf>
    <xf numFmtId="0" fontId="0" fillId="0" borderId="0" xfId="0" applyAlignment="1" applyProtection="1">
      <alignment horizontal="center" wrapText="1"/>
      <protection locked="0"/>
    </xf>
    <xf numFmtId="0" fontId="26" fillId="0" borderId="0" xfId="0" applyFont="1" applyAlignment="1" applyProtection="1">
      <alignment horizontal="center" wrapText="1"/>
      <protection locked="0"/>
    </xf>
    <xf numFmtId="0" fontId="32" fillId="11" borderId="1" xfId="0" applyFont="1" applyFill="1" applyBorder="1" applyAlignment="1" applyProtection="1">
      <alignment horizontal="center" vertical="center" wrapText="1"/>
      <protection locked="0"/>
    </xf>
    <xf numFmtId="0" fontId="25" fillId="11" borderId="1" xfId="0" applyFont="1" applyFill="1" applyBorder="1" applyAlignment="1" applyProtection="1">
      <alignment horizontal="center" vertical="center" wrapText="1"/>
      <protection locked="0"/>
    </xf>
    <xf numFmtId="0" fontId="33" fillId="0" borderId="37" xfId="0" applyFont="1" applyBorder="1" applyAlignment="1" applyProtection="1">
      <alignment horizontal="center" vertical="center" wrapText="1"/>
      <protection locked="0"/>
    </xf>
    <xf numFmtId="0" fontId="34" fillId="12" borderId="1" xfId="0" applyFont="1" applyFill="1" applyBorder="1" applyAlignment="1">
      <alignment horizontal="left" vertical="center" wrapText="1"/>
    </xf>
    <xf numFmtId="0" fontId="2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3" fillId="13" borderId="1" xfId="0" applyFont="1" applyFill="1" applyBorder="1" applyAlignment="1" applyProtection="1">
      <alignment horizontal="center" vertical="center" wrapText="1"/>
      <protection locked="0"/>
    </xf>
    <xf numFmtId="0" fontId="23"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 xfId="0" applyFont="1" applyBorder="1" applyAlignment="1">
      <alignment horizontal="left" vertical="center" wrapText="1"/>
    </xf>
    <xf numFmtId="0" fontId="35" fillId="2" borderId="1" xfId="0" applyFont="1" applyFill="1" applyBorder="1" applyAlignment="1" applyProtection="1">
      <alignment horizontal="left" vertical="center" wrapText="1"/>
      <protection locked="0"/>
    </xf>
    <xf numFmtId="0" fontId="36" fillId="0" borderId="1" xfId="0" applyFont="1" applyBorder="1" applyAlignment="1">
      <alignment horizontal="left" vertical="center" wrapText="1"/>
    </xf>
    <xf numFmtId="0" fontId="37" fillId="0" borderId="37" xfId="0" applyFont="1" applyBorder="1" applyAlignment="1" applyProtection="1">
      <alignment horizontal="center" vertical="center" wrapText="1"/>
      <protection locked="0"/>
    </xf>
    <xf numFmtId="0" fontId="23" fillId="0" borderId="1" xfId="0" applyFont="1" applyBorder="1" applyAlignment="1">
      <alignment horizontal="left" vertical="center" wrapText="1"/>
    </xf>
    <xf numFmtId="0" fontId="3" fillId="14" borderId="1" xfId="0" applyFont="1" applyFill="1" applyBorder="1" applyAlignment="1">
      <alignment horizontal="left" vertical="center" wrapText="1"/>
    </xf>
    <xf numFmtId="0" fontId="23" fillId="14" borderId="1" xfId="0" applyFont="1" applyFill="1" applyBorder="1" applyAlignment="1">
      <alignment horizontal="left" vertical="center" wrapText="1"/>
    </xf>
    <xf numFmtId="49" fontId="3" fillId="0" borderId="1" xfId="0" applyNumberFormat="1" applyFont="1" applyBorder="1" applyAlignment="1">
      <alignment horizontal="left" vertical="center" wrapText="1"/>
    </xf>
    <xf numFmtId="0" fontId="23" fillId="15" borderId="1" xfId="0" applyFont="1" applyFill="1" applyBorder="1" applyAlignment="1">
      <alignment horizontal="left" vertical="center" wrapText="1"/>
    </xf>
    <xf numFmtId="0" fontId="38" fillId="0" borderId="1" xfId="0" applyFont="1" applyBorder="1" applyAlignment="1">
      <alignment horizontal="left" vertical="center" wrapText="1"/>
    </xf>
    <xf numFmtId="0" fontId="37" fillId="0" borderId="38" xfId="0" applyFont="1" applyBorder="1" applyAlignment="1" applyProtection="1">
      <alignment horizontal="center" vertical="center" wrapText="1"/>
      <protection locked="0"/>
    </xf>
    <xf numFmtId="0" fontId="23" fillId="0" borderId="31" xfId="0" applyFont="1" applyBorder="1" applyAlignment="1" applyProtection="1">
      <alignment horizontal="center" vertical="center" wrapText="1"/>
      <protection locked="0"/>
    </xf>
    <xf numFmtId="0" fontId="37" fillId="0" borderId="1" xfId="0" applyFont="1" applyBorder="1" applyAlignment="1" applyProtection="1">
      <alignment horizontal="center" vertical="center" wrapText="1"/>
      <protection locked="0"/>
    </xf>
    <xf numFmtId="0" fontId="23" fillId="0" borderId="1" xfId="0" applyFont="1" applyBorder="1" applyAlignment="1" applyProtection="1">
      <alignment horizontal="left" vertical="center" wrapText="1"/>
      <protection locked="0"/>
    </xf>
    <xf numFmtId="0" fontId="23" fillId="16" borderId="1" xfId="0" applyFont="1" applyFill="1" applyBorder="1" applyAlignment="1">
      <alignment horizontal="left" vertical="center" wrapText="1"/>
    </xf>
    <xf numFmtId="0" fontId="24" fillId="0" borderId="1" xfId="0" applyFont="1" applyBorder="1" applyAlignment="1" applyProtection="1">
      <alignment horizontal="center" vertical="center" wrapText="1"/>
      <protection locked="0"/>
    </xf>
    <xf numFmtId="0" fontId="3" fillId="0" borderId="1" xfId="0" applyFont="1" applyBorder="1" applyAlignment="1">
      <alignment horizontal="left" vertical="center"/>
    </xf>
    <xf numFmtId="0" fontId="22" fillId="0" borderId="1" xfId="0" applyFont="1" applyBorder="1" applyAlignment="1" applyProtection="1">
      <alignment horizontal="left" vertical="center" wrapText="1"/>
      <protection locked="0"/>
    </xf>
    <xf numFmtId="0" fontId="37" fillId="0" borderId="1" xfId="0" applyFont="1" applyBorder="1" applyAlignment="1" applyProtection="1">
      <alignment horizontal="center" vertical="center"/>
      <protection locked="0"/>
    </xf>
    <xf numFmtId="0" fontId="39" fillId="0" borderId="0" xfId="0" applyFont="1">
      <alignment vertical="center"/>
    </xf>
    <xf numFmtId="0" fontId="39" fillId="0" borderId="0" xfId="0" applyFont="1" applyAlignment="1"/>
    <xf numFmtId="0" fontId="3" fillId="17"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2" fillId="2" borderId="1" xfId="4"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0" fontId="3" fillId="17" borderId="31" xfId="0" applyFont="1" applyFill="1" applyBorder="1" applyAlignment="1">
      <alignment horizontal="center" vertical="center"/>
    </xf>
    <xf numFmtId="0" fontId="3" fillId="2" borderId="31" xfId="0" applyFont="1" applyFill="1" applyBorder="1" applyAlignment="1">
      <alignment horizontal="center" vertical="center" wrapText="1"/>
    </xf>
    <xf numFmtId="0" fontId="3" fillId="17" borderId="39" xfId="0" applyFont="1" applyFill="1" applyBorder="1" applyAlignment="1">
      <alignment horizontal="center" vertical="center"/>
    </xf>
    <xf numFmtId="0" fontId="3" fillId="2" borderId="39" xfId="0" applyFont="1" applyFill="1" applyBorder="1" applyAlignment="1">
      <alignment horizontal="center" vertical="center" wrapText="1"/>
    </xf>
    <xf numFmtId="0" fontId="3" fillId="17" borderId="40" xfId="0" applyFont="1" applyFill="1" applyBorder="1" applyAlignment="1">
      <alignment horizontal="center" vertical="center"/>
    </xf>
    <xf numFmtId="0" fontId="3" fillId="2" borderId="40"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44" fillId="0" borderId="1" xfId="0" applyFont="1" applyBorder="1" applyAlignment="1">
      <alignment horizontal="left" vertical="center"/>
    </xf>
    <xf numFmtId="0" fontId="44" fillId="0" borderId="1" xfId="0" applyFont="1" applyBorder="1" applyAlignment="1">
      <alignment horizontal="center" vertical="center" wrapText="1"/>
    </xf>
    <xf numFmtId="3" fontId="0" fillId="0" borderId="0" xfId="0" applyNumberFormat="1">
      <alignment vertical="center"/>
    </xf>
    <xf numFmtId="0" fontId="45" fillId="0" borderId="1" xfId="0" applyFont="1" applyBorder="1" applyAlignment="1">
      <alignment vertical="center" wrapText="1"/>
    </xf>
    <xf numFmtId="0" fontId="45" fillId="0" borderId="1" xfId="0" applyFont="1" applyBorder="1" applyAlignment="1">
      <alignment horizontal="center" vertical="center" wrapText="1"/>
    </xf>
    <xf numFmtId="168" fontId="46" fillId="0" borderId="7" xfId="1" applyNumberFormat="1" applyFont="1" applyBorder="1" applyAlignment="1">
      <alignment horizontal="right" vertical="center"/>
    </xf>
    <xf numFmtId="0" fontId="45" fillId="0" borderId="1" xfId="0" applyFont="1" applyBorder="1" applyAlignment="1">
      <alignment horizontal="left" vertical="center"/>
    </xf>
    <xf numFmtId="168" fontId="45" fillId="0" borderId="1" xfId="1" applyNumberFormat="1" applyFont="1" applyBorder="1" applyAlignment="1">
      <alignment horizontal="center" vertical="center" wrapText="1"/>
    </xf>
    <xf numFmtId="168" fontId="45" fillId="0" borderId="1" xfId="1" applyNumberFormat="1" applyFont="1" applyBorder="1" applyAlignment="1">
      <alignment horizontal="center" vertical="center"/>
    </xf>
    <xf numFmtId="0" fontId="44" fillId="0" borderId="1" xfId="0" applyFont="1" applyBorder="1" applyAlignment="1">
      <alignment horizontal="left" vertical="center" wrapText="1"/>
    </xf>
    <xf numFmtId="0" fontId="49" fillId="19" borderId="1" xfId="0" applyFont="1" applyFill="1" applyBorder="1" applyAlignment="1">
      <alignment horizontal="center" vertical="center"/>
    </xf>
    <xf numFmtId="167" fontId="49" fillId="18" borderId="1" xfId="0" applyNumberFormat="1" applyFont="1" applyFill="1" applyBorder="1" applyAlignment="1">
      <alignment horizontal="center" vertical="center"/>
    </xf>
    <xf numFmtId="0" fontId="46" fillId="0" borderId="0" xfId="0" applyFont="1" applyAlignment="1">
      <alignment horizontal="center" vertical="center" wrapText="1"/>
    </xf>
    <xf numFmtId="0" fontId="46" fillId="0" borderId="0" xfId="0" applyFont="1" applyAlignment="1">
      <alignment vertical="center" wrapText="1"/>
    </xf>
    <xf numFmtId="0" fontId="46" fillId="0" borderId="0" xfId="0" applyFont="1" applyAlignment="1">
      <alignment horizontal="left" vertical="center"/>
    </xf>
    <xf numFmtId="0" fontId="46" fillId="0" borderId="0" xfId="0" applyFont="1">
      <alignment vertical="center"/>
    </xf>
    <xf numFmtId="0" fontId="49" fillId="0" borderId="0" xfId="0" applyFont="1" applyAlignment="1">
      <alignment vertical="center" wrapText="1"/>
    </xf>
    <xf numFmtId="0" fontId="49" fillId="0" borderId="0" xfId="0" applyFont="1" applyAlignment="1">
      <alignment horizontal="right" vertical="center" wrapText="1"/>
    </xf>
    <xf numFmtId="0" fontId="52" fillId="0" borderId="0" xfId="0" applyFont="1">
      <alignment vertical="center"/>
    </xf>
    <xf numFmtId="169" fontId="45" fillId="0" borderId="12" xfId="5" quotePrefix="1" applyNumberFormat="1" applyFont="1" applyBorder="1" applyAlignment="1">
      <alignment horizontal="left" vertical="center"/>
    </xf>
    <xf numFmtId="0" fontId="3" fillId="2" borderId="1" xfId="0" quotePrefix="1" applyFont="1" applyFill="1" applyBorder="1" applyAlignment="1">
      <alignment horizontal="center" vertical="center" wrapText="1"/>
    </xf>
    <xf numFmtId="0" fontId="3" fillId="2" borderId="1" xfId="0" applyFont="1" applyFill="1" applyBorder="1" applyAlignment="1" applyProtection="1">
      <alignment horizontal="left" vertical="center" wrapText="1"/>
      <protection locked="0"/>
    </xf>
    <xf numFmtId="0" fontId="49" fillId="0" borderId="0" xfId="0" applyFont="1" applyAlignment="1">
      <alignment horizontal="center" vertical="center"/>
    </xf>
    <xf numFmtId="0" fontId="44" fillId="0" borderId="1" xfId="0" applyFont="1" applyBorder="1" applyAlignment="1">
      <alignment horizontal="left" vertical="center"/>
    </xf>
    <xf numFmtId="0" fontId="49" fillId="18" borderId="31" xfId="0" applyFont="1" applyFill="1" applyBorder="1" applyAlignment="1">
      <alignment horizontal="center" vertical="center"/>
    </xf>
    <xf numFmtId="0" fontId="49" fillId="18" borderId="41" xfId="0" applyFont="1" applyFill="1" applyBorder="1" applyAlignment="1">
      <alignment horizontal="center" vertical="center"/>
    </xf>
    <xf numFmtId="0" fontId="45" fillId="0" borderId="1" xfId="0" applyFont="1" applyBorder="1" applyAlignment="1">
      <alignment horizontal="left" vertical="center" wrapText="1"/>
    </xf>
    <xf numFmtId="0" fontId="45" fillId="0" borderId="1" xfId="7" applyFont="1" applyBorder="1" applyAlignment="1">
      <alignment horizontal="left" vertical="center" wrapText="1"/>
    </xf>
    <xf numFmtId="0" fontId="45" fillId="0" borderId="1" xfId="0" applyFont="1" applyBorder="1" applyAlignment="1">
      <alignment horizontal="left" vertical="center"/>
    </xf>
    <xf numFmtId="0" fontId="49" fillId="19" borderId="7" xfId="0" applyFont="1" applyFill="1" applyBorder="1" applyAlignment="1">
      <alignment horizontal="center" vertical="center"/>
    </xf>
    <xf numFmtId="0" fontId="49" fillId="19" borderId="8" xfId="0" applyFont="1" applyFill="1" applyBorder="1" applyAlignment="1">
      <alignment horizontal="center" vertical="center"/>
    </xf>
    <xf numFmtId="0" fontId="49" fillId="19" borderId="12" xfId="0" applyFont="1" applyFill="1" applyBorder="1" applyAlignment="1">
      <alignment horizontal="center" vertical="center"/>
    </xf>
    <xf numFmtId="0" fontId="50" fillId="19" borderId="1" xfId="0" applyFont="1" applyFill="1" applyBorder="1" applyAlignment="1">
      <alignment horizontal="center" vertical="center"/>
    </xf>
    <xf numFmtId="9" fontId="51" fillId="18" borderId="8" xfId="0" applyNumberFormat="1" applyFont="1" applyFill="1" applyBorder="1" applyAlignment="1">
      <alignment horizontal="center" vertical="center"/>
    </xf>
    <xf numFmtId="9" fontId="51" fillId="18" borderId="12" xfId="0" applyNumberFormat="1" applyFont="1" applyFill="1" applyBorder="1" applyAlignment="1">
      <alignment horizontal="center" vertical="center"/>
    </xf>
    <xf numFmtId="170" fontId="49" fillId="18" borderId="1" xfId="0" applyNumberFormat="1" applyFont="1" applyFill="1" applyBorder="1" applyAlignment="1">
      <alignment horizontal="center" vertical="center"/>
    </xf>
    <xf numFmtId="0" fontId="45" fillId="0" borderId="1" xfId="7" quotePrefix="1" applyFont="1" applyBorder="1" applyAlignment="1">
      <alignment horizontal="center" vertical="center" wrapText="1"/>
    </xf>
    <xf numFmtId="0" fontId="45" fillId="0" borderId="1" xfId="7" applyFont="1" applyBorder="1" applyAlignment="1">
      <alignment horizontal="center" vertical="center" wrapText="1"/>
    </xf>
    <xf numFmtId="0" fontId="47" fillId="0" borderId="1" xfId="4" applyFont="1" applyBorder="1" applyAlignment="1">
      <alignment horizontal="center" vertical="center" wrapText="1"/>
    </xf>
    <xf numFmtId="0" fontId="48" fillId="0" borderId="1" xfId="7" applyFont="1" applyBorder="1" applyAlignment="1">
      <alignment horizontal="center" vertical="center" wrapText="1"/>
    </xf>
    <xf numFmtId="0" fontId="45" fillId="0" borderId="1" xfId="0" applyFont="1" applyBorder="1" applyAlignment="1">
      <alignment horizontal="center" vertical="center"/>
    </xf>
    <xf numFmtId="0" fontId="43" fillId="0" borderId="1" xfId="0" applyFont="1" applyBorder="1" applyAlignment="1">
      <alignment horizontal="center" vertical="center"/>
    </xf>
    <xf numFmtId="167" fontId="44" fillId="0" borderId="1" xfId="2" applyNumberFormat="1" applyFont="1" applyBorder="1" applyAlignment="1">
      <alignment horizontal="center" vertical="center"/>
    </xf>
    <xf numFmtId="0" fontId="53" fillId="0" borderId="1" xfId="4" applyBorder="1" applyAlignment="1">
      <alignment horizontal="center" vertical="center" wrapText="1"/>
    </xf>
    <xf numFmtId="0" fontId="3" fillId="17" borderId="1" xfId="0" applyFont="1" applyFill="1" applyBorder="1" applyAlignment="1">
      <alignment horizontal="center" vertical="center"/>
    </xf>
    <xf numFmtId="0" fontId="3" fillId="17" borderId="31" xfId="0" applyFont="1" applyFill="1" applyBorder="1" applyAlignment="1">
      <alignment horizontal="center" vertical="center"/>
    </xf>
    <xf numFmtId="0" fontId="3" fillId="17" borderId="39" xfId="0" applyFont="1" applyFill="1" applyBorder="1" applyAlignment="1">
      <alignment horizontal="center" vertical="center"/>
    </xf>
    <xf numFmtId="0" fontId="3" fillId="17" borderId="40" xfId="0" applyFont="1" applyFill="1" applyBorder="1" applyAlignment="1">
      <alignment horizontal="center" vertical="center"/>
    </xf>
    <xf numFmtId="0" fontId="40" fillId="0" borderId="0" xfId="0" applyFont="1" applyAlignment="1">
      <alignment horizontal="left"/>
    </xf>
    <xf numFmtId="0" fontId="41" fillId="0" borderId="0" xfId="0" applyFont="1" applyAlignment="1">
      <alignment horizontal="left"/>
    </xf>
    <xf numFmtId="0" fontId="18" fillId="10" borderId="27" xfId="0" applyFont="1" applyFill="1" applyBorder="1" applyAlignment="1">
      <alignment horizontal="center" vertical="center" wrapText="1"/>
    </xf>
    <xf numFmtId="0" fontId="18" fillId="10" borderId="28"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17" xfId="0" applyFont="1" applyBorder="1" applyAlignment="1">
      <alignment horizontal="center" vertical="center"/>
    </xf>
    <xf numFmtId="0" fontId="2" fillId="0" borderId="25" xfId="0" applyFont="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8" fillId="10" borderId="18" xfId="0" applyFont="1" applyFill="1" applyBorder="1" applyAlignment="1">
      <alignment horizontal="center" vertical="center" wrapText="1"/>
    </xf>
    <xf numFmtId="0" fontId="18" fillId="10" borderId="19" xfId="0" applyFont="1" applyFill="1" applyBorder="1" applyAlignment="1">
      <alignment horizontal="center" vertical="center" wrapText="1"/>
    </xf>
    <xf numFmtId="0" fontId="18" fillId="10" borderId="20" xfId="0" applyFont="1" applyFill="1" applyBorder="1" applyAlignment="1">
      <alignment horizontal="center" vertical="center" wrapText="1"/>
    </xf>
    <xf numFmtId="0" fontId="16" fillId="7" borderId="22" xfId="0" applyFont="1" applyFill="1" applyBorder="1" applyAlignment="1">
      <alignment horizontal="center" vertical="center" wrapText="1"/>
    </xf>
    <xf numFmtId="0" fontId="16" fillId="7" borderId="21" xfId="0" applyFont="1" applyFill="1" applyBorder="1" applyAlignment="1">
      <alignment horizontal="center" vertical="center" wrapText="1"/>
    </xf>
  </cellXfs>
  <cellStyles count="10">
    <cellStyle name="Comma" xfId="1" builtinId="3"/>
    <cellStyle name="Comma [0]" xfId="3" builtinId="6"/>
    <cellStyle name="Currency 2" xfId="5" xr:uid="{00000000-0005-0000-0000-000002000000}"/>
    <cellStyle name="Hyperlink" xfId="4" builtinId="8"/>
    <cellStyle name="Hyperlink 2" xfId="6" xr:uid="{00000000-0005-0000-0000-000004000000}"/>
    <cellStyle name="Normal" xfId="0" builtinId="0"/>
    <cellStyle name="Normal 2" xfId="7" xr:uid="{00000000-0005-0000-0000-000006000000}"/>
    <cellStyle name="Percent" xfId="2" builtinId="5"/>
    <cellStyle name="표준 2" xfId="8" xr:uid="{00000000-0005-0000-0000-000008000000}"/>
    <cellStyle name="표준 8" xfId="9" xr:uid="{00000000-0005-0000-0000-000009000000}"/>
  </cellStyles>
  <dxfs count="7">
    <dxf>
      <fill>
        <patternFill patternType="solid">
          <bgColor theme="0" tint="-0.499984740745262"/>
        </patternFill>
      </fill>
    </dxf>
    <dxf>
      <fill>
        <patternFill patternType="solid">
          <bgColor theme="2" tint="-0.24994659260841701"/>
        </patternFill>
      </fill>
    </dxf>
    <dxf>
      <fill>
        <gradientFill type="path" left="0.5" right="0.5" top="0.5" bottom="0.5">
          <stop position="0">
            <color theme="0"/>
          </stop>
          <stop position="1">
            <color rgb="FFFF0000"/>
          </stop>
        </gradientFill>
      </fill>
    </dxf>
    <dxf>
      <fill>
        <patternFill patternType="solid">
          <bgColor rgb="FFFF0000"/>
        </patternFill>
      </fill>
    </dxf>
    <dxf>
      <fill>
        <patternFill patternType="solid">
          <bgColor theme="9" tint="-0.24994659260841701"/>
        </patternFill>
      </fill>
    </dxf>
    <dxf>
      <fill>
        <patternFill patternType="solid">
          <bgColor rgb="FFFFFF00"/>
        </patternFill>
      </fill>
    </dxf>
    <dxf>
      <fill>
        <patternFill patternType="solid">
          <bgColor rgb="FF00B050"/>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85720</xdr:colOff>
      <xdr:row>0</xdr:row>
      <xdr:rowOff>61233</xdr:rowOff>
    </xdr:from>
    <xdr:to>
      <xdr:col>1</xdr:col>
      <xdr:colOff>996656</xdr:colOff>
      <xdr:row>0</xdr:row>
      <xdr:rowOff>489858</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17899" b="14962"/>
        <a:stretch>
          <a:fillRect/>
        </a:stretch>
      </xdr:blipFill>
      <xdr:spPr>
        <a:xfrm>
          <a:off x="85090" y="60960"/>
          <a:ext cx="24161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1061357</xdr:colOff>
      <xdr:row>0</xdr:row>
      <xdr:rowOff>81643</xdr:rowOff>
    </xdr:from>
    <xdr:to>
      <xdr:col>7</xdr:col>
      <xdr:colOff>1265782</xdr:colOff>
      <xdr:row>0</xdr:row>
      <xdr:rowOff>605944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967085" y="81280"/>
          <a:ext cx="1709420" cy="5245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51216;&#44160;&#47588;&#45684;&#50620;\24&#45380;\&#52404;&#53356;&#47532;&#49828;&#53944;\&#9733;%20230118%20Unified%20Report%20form%20for%20supplier%203rd%20party%20audit_Final.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vuthu.trang\AppData\Roaming\mySingleDesktopMessage\Temp\49bf75e2-3f83-4d1c-a531-ae1b3d56805b\2025.10.28_KCI_HR%20closure%20audit%20result%20report%20in%202H.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port"/>
      <sheetName val="General Information"/>
      <sheetName val="Checklist(Initial)"/>
      <sheetName val="Issue AFA"/>
      <sheetName val="Checklist(Closure)"/>
      <sheetName val="Closure AFA"/>
      <sheetName val="FIndings(Initial)"/>
      <sheetName val="FIndings(Closure)"/>
      <sheetName val="Reference table"/>
      <sheetName val="Signature"/>
      <sheetName val="CAP Form"/>
      <sheetName val="Language"/>
      <sheetName val="chart"/>
      <sheetName val="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y Profile"/>
      <sheetName val="General Information"/>
      <sheetName val="Checklist"/>
      <sheetName val="Reference table"/>
      <sheetName val="Table"/>
    </sheetNames>
    <sheetDataSet>
      <sheetData sheetId="0" refreshError="1"/>
      <sheetData sheetId="1" refreshError="1"/>
      <sheetData sheetId="2" refreshError="1"/>
      <sheetData sheetId="3" refreshError="1"/>
      <sheetData sheetId="4" refreshError="1">
        <row r="1">
          <cell r="D1" t="str">
            <v>ID&amp;Grade&amp;Section</v>
          </cell>
          <cell r="E1" t="str">
            <v>Score</v>
          </cell>
        </row>
        <row r="2">
          <cell r="D2" t="str">
            <v>AL101ConformanceLabor</v>
          </cell>
          <cell r="E2">
            <v>5</v>
          </cell>
        </row>
        <row r="3">
          <cell r="D3" t="str">
            <v>AL101PriorityLabor</v>
          </cell>
          <cell r="E3">
            <v>0</v>
          </cell>
        </row>
        <row r="4">
          <cell r="D4" t="str">
            <v>AL101MajorLabor</v>
          </cell>
          <cell r="E4">
            <v>1</v>
          </cell>
        </row>
        <row r="5">
          <cell r="D5" t="str">
            <v>AL101MinorLabor</v>
          </cell>
          <cell r="E5">
            <v>3</v>
          </cell>
        </row>
        <row r="6">
          <cell r="D6" t="str">
            <v>AL101N/ALabor</v>
          </cell>
          <cell r="E6">
            <v>5</v>
          </cell>
        </row>
        <row r="7">
          <cell r="D7" t="str">
            <v>AL101Risk of NonconformanceLabor</v>
          </cell>
          <cell r="E7">
            <v>5</v>
          </cell>
        </row>
        <row r="8">
          <cell r="D8" t="str">
            <v>AL102ConformanceLabor</v>
          </cell>
          <cell r="E8">
            <v>4</v>
          </cell>
        </row>
        <row r="9">
          <cell r="D9" t="str">
            <v>AL102PriorityLabor</v>
          </cell>
          <cell r="E9">
            <v>0</v>
          </cell>
        </row>
        <row r="10">
          <cell r="D10" t="str">
            <v>AL102MajorLabor</v>
          </cell>
          <cell r="E10">
            <v>1</v>
          </cell>
        </row>
        <row r="11">
          <cell r="D11" t="str">
            <v>AL102MinorLabor</v>
          </cell>
          <cell r="E11">
            <v>2</v>
          </cell>
        </row>
        <row r="12">
          <cell r="D12" t="str">
            <v>AL102N/ALabor</v>
          </cell>
          <cell r="E12">
            <v>4</v>
          </cell>
        </row>
        <row r="13">
          <cell r="D13" t="str">
            <v>AL102Risk of NonconformanceLabor</v>
          </cell>
          <cell r="E13">
            <v>4</v>
          </cell>
        </row>
        <row r="14">
          <cell r="D14" t="str">
            <v>AL103ConformanceLabor</v>
          </cell>
          <cell r="E14">
            <v>4</v>
          </cell>
        </row>
        <row r="15">
          <cell r="D15" t="str">
            <v>AL103PriorityLabor</v>
          </cell>
          <cell r="E15">
            <v>0</v>
          </cell>
        </row>
        <row r="16">
          <cell r="D16" t="str">
            <v>AL103MajorLabor</v>
          </cell>
          <cell r="E16">
            <v>1</v>
          </cell>
        </row>
        <row r="17">
          <cell r="D17" t="str">
            <v>AL103MinorLabor</v>
          </cell>
          <cell r="E17">
            <v>2</v>
          </cell>
        </row>
        <row r="18">
          <cell r="D18" t="str">
            <v>AL103N/ALabor</v>
          </cell>
          <cell r="E18">
            <v>4</v>
          </cell>
        </row>
        <row r="19">
          <cell r="D19" t="str">
            <v>AL103Risk of NonconformanceLabor</v>
          </cell>
          <cell r="E19">
            <v>4</v>
          </cell>
        </row>
        <row r="20">
          <cell r="D20" t="str">
            <v>AL201ConformanceLabor</v>
          </cell>
          <cell r="E20">
            <v>5</v>
          </cell>
        </row>
        <row r="21">
          <cell r="D21" t="str">
            <v>AL201PriorityLabor</v>
          </cell>
          <cell r="E21">
            <v>0</v>
          </cell>
        </row>
        <row r="22">
          <cell r="D22" t="str">
            <v>AL201MajorLabor</v>
          </cell>
          <cell r="E22">
            <v>1</v>
          </cell>
        </row>
        <row r="23">
          <cell r="D23" t="str">
            <v>AL201MinorLabor</v>
          </cell>
          <cell r="E23">
            <v>3</v>
          </cell>
        </row>
        <row r="24">
          <cell r="D24" t="str">
            <v>AL201N/ALabor</v>
          </cell>
          <cell r="E24">
            <v>5</v>
          </cell>
        </row>
        <row r="25">
          <cell r="D25" t="str">
            <v>AL201Risk of NonconformanceLabor</v>
          </cell>
          <cell r="E25">
            <v>5</v>
          </cell>
        </row>
        <row r="26">
          <cell r="D26" t="str">
            <v>AL202ConformanceLabor</v>
          </cell>
          <cell r="E26">
            <v>4</v>
          </cell>
        </row>
        <row r="27">
          <cell r="D27" t="str">
            <v>AL202PriorityLabor</v>
          </cell>
          <cell r="E27">
            <v>0</v>
          </cell>
        </row>
        <row r="28">
          <cell r="D28" t="str">
            <v>AL202MajorLabor</v>
          </cell>
          <cell r="E28">
            <v>1</v>
          </cell>
        </row>
        <row r="29">
          <cell r="D29" t="str">
            <v>AL202MinorLabor</v>
          </cell>
          <cell r="E29">
            <v>2</v>
          </cell>
        </row>
        <row r="30">
          <cell r="D30" t="str">
            <v>AL202N/ALabor</v>
          </cell>
          <cell r="E30">
            <v>4</v>
          </cell>
        </row>
        <row r="31">
          <cell r="D31" t="str">
            <v>AL202Risk of NonconformanceLabor</v>
          </cell>
          <cell r="E31">
            <v>4</v>
          </cell>
        </row>
        <row r="32">
          <cell r="D32" t="str">
            <v>AL203ConformanceLabor</v>
          </cell>
          <cell r="E32">
            <v>3</v>
          </cell>
        </row>
        <row r="33">
          <cell r="D33" t="str">
            <v>AL203PriorityLabor</v>
          </cell>
          <cell r="E33">
            <v>0</v>
          </cell>
        </row>
        <row r="34">
          <cell r="D34" t="str">
            <v>AL203MajorLabor</v>
          </cell>
          <cell r="E34">
            <v>0</v>
          </cell>
        </row>
        <row r="35">
          <cell r="D35" t="str">
            <v>AL203MinorLabor</v>
          </cell>
          <cell r="E35">
            <v>1</v>
          </cell>
        </row>
        <row r="36">
          <cell r="D36" t="str">
            <v>AL203N/ALabor</v>
          </cell>
          <cell r="E36">
            <v>3</v>
          </cell>
        </row>
        <row r="37">
          <cell r="D37" t="str">
            <v>AL203Risk of NonconformanceLabor</v>
          </cell>
          <cell r="E37">
            <v>3</v>
          </cell>
        </row>
        <row r="38">
          <cell r="D38" t="str">
            <v>AL301ConformanceLabor</v>
          </cell>
          <cell r="E38">
            <v>5</v>
          </cell>
        </row>
        <row r="39">
          <cell r="D39" t="str">
            <v>AL301PriorityLabor</v>
          </cell>
          <cell r="E39">
            <v>0</v>
          </cell>
        </row>
        <row r="40">
          <cell r="D40" t="str">
            <v>AL301MajorLabor</v>
          </cell>
          <cell r="E40">
            <v>1</v>
          </cell>
        </row>
        <row r="41">
          <cell r="D41" t="str">
            <v>AL301MinorLabor</v>
          </cell>
          <cell r="E41">
            <v>3</v>
          </cell>
        </row>
        <row r="42">
          <cell r="D42" t="str">
            <v>AL301N/ALabor</v>
          </cell>
          <cell r="E42">
            <v>5</v>
          </cell>
        </row>
        <row r="43">
          <cell r="D43" t="str">
            <v>AL301Risk of NonconformanceLabor</v>
          </cell>
          <cell r="E43">
            <v>5</v>
          </cell>
        </row>
        <row r="44">
          <cell r="D44" t="str">
            <v>AL302ConformanceLabor</v>
          </cell>
          <cell r="E44">
            <v>4</v>
          </cell>
        </row>
        <row r="45">
          <cell r="D45" t="str">
            <v>AL302PriorityLabor</v>
          </cell>
          <cell r="E45">
            <v>0</v>
          </cell>
        </row>
        <row r="46">
          <cell r="D46" t="str">
            <v>AL302MajorLabor</v>
          </cell>
          <cell r="E46">
            <v>1</v>
          </cell>
        </row>
        <row r="47">
          <cell r="D47" t="str">
            <v>AL302MinorLabor</v>
          </cell>
          <cell r="E47">
            <v>2</v>
          </cell>
        </row>
        <row r="48">
          <cell r="D48" t="str">
            <v>AL302N/ALabor</v>
          </cell>
          <cell r="E48">
            <v>4</v>
          </cell>
        </row>
        <row r="49">
          <cell r="D49" t="str">
            <v>AL302Risk of NonconformanceLabor</v>
          </cell>
          <cell r="E49">
            <v>4</v>
          </cell>
        </row>
        <row r="50">
          <cell r="D50" t="str">
            <v>AL303ConformanceLabor</v>
          </cell>
          <cell r="E50">
            <v>4</v>
          </cell>
        </row>
        <row r="51">
          <cell r="D51" t="str">
            <v>AL303PriorityLabor</v>
          </cell>
          <cell r="E51">
            <v>0</v>
          </cell>
        </row>
        <row r="52">
          <cell r="D52" t="str">
            <v>AL303MajorLabor</v>
          </cell>
          <cell r="E52">
            <v>1</v>
          </cell>
        </row>
        <row r="53">
          <cell r="D53" t="str">
            <v>AL303MinorLabor</v>
          </cell>
          <cell r="E53">
            <v>2</v>
          </cell>
        </row>
        <row r="54">
          <cell r="D54" t="str">
            <v>AL303N/ALabor</v>
          </cell>
          <cell r="E54">
            <v>4</v>
          </cell>
        </row>
        <row r="55">
          <cell r="D55" t="str">
            <v>AL303Risk of NonconformanceLabor</v>
          </cell>
          <cell r="E55">
            <v>4</v>
          </cell>
        </row>
        <row r="56">
          <cell r="D56" t="str">
            <v>AL401ConformanceLabor</v>
          </cell>
          <cell r="E56">
            <v>5</v>
          </cell>
        </row>
        <row r="57">
          <cell r="D57" t="str">
            <v>AL401PriorityLabor</v>
          </cell>
          <cell r="E57">
            <v>0</v>
          </cell>
        </row>
        <row r="58">
          <cell r="D58" t="str">
            <v>AL401MajorLabor</v>
          </cell>
          <cell r="E58">
            <v>1</v>
          </cell>
        </row>
        <row r="59">
          <cell r="D59" t="str">
            <v>AL401MinorLabor</v>
          </cell>
          <cell r="E59">
            <v>3</v>
          </cell>
        </row>
        <row r="60">
          <cell r="D60" t="str">
            <v>AL401N/ALabor</v>
          </cell>
          <cell r="E60">
            <v>5</v>
          </cell>
        </row>
        <row r="61">
          <cell r="D61" t="str">
            <v>AL401Risk of NonconformanceLabor</v>
          </cell>
          <cell r="E61">
            <v>5</v>
          </cell>
        </row>
        <row r="62">
          <cell r="D62" t="str">
            <v>AL402ConformanceLabor</v>
          </cell>
          <cell r="E62">
            <v>4</v>
          </cell>
        </row>
        <row r="63">
          <cell r="D63" t="str">
            <v>AL402PriorityLabor</v>
          </cell>
          <cell r="E63">
            <v>0</v>
          </cell>
        </row>
        <row r="64">
          <cell r="D64" t="str">
            <v>AL402MajorLabor</v>
          </cell>
          <cell r="E64">
            <v>1</v>
          </cell>
        </row>
        <row r="65">
          <cell r="D65" t="str">
            <v>AL402MinorLabor</v>
          </cell>
          <cell r="E65">
            <v>2</v>
          </cell>
        </row>
        <row r="66">
          <cell r="D66" t="str">
            <v>AL402N/ALabor</v>
          </cell>
          <cell r="E66">
            <v>4</v>
          </cell>
        </row>
        <row r="67">
          <cell r="D67" t="str">
            <v>AL402Risk of NonconformanceLabor</v>
          </cell>
          <cell r="E67">
            <v>4</v>
          </cell>
        </row>
        <row r="68">
          <cell r="D68" t="str">
            <v>AL403ConformanceLabor</v>
          </cell>
          <cell r="E68">
            <v>5</v>
          </cell>
        </row>
        <row r="69">
          <cell r="D69" t="str">
            <v>AL403PriorityLabor</v>
          </cell>
          <cell r="E69">
            <v>0</v>
          </cell>
        </row>
        <row r="70">
          <cell r="D70" t="str">
            <v>AL403MajorLabor</v>
          </cell>
          <cell r="E70">
            <v>1</v>
          </cell>
        </row>
        <row r="71">
          <cell r="D71" t="str">
            <v>AL403MinorLabor</v>
          </cell>
          <cell r="E71">
            <v>3</v>
          </cell>
        </row>
        <row r="72">
          <cell r="D72" t="str">
            <v>AL403N/ALabor</v>
          </cell>
          <cell r="E72">
            <v>5</v>
          </cell>
        </row>
        <row r="73">
          <cell r="D73" t="str">
            <v>AL403Risk of NonconformanceLabor</v>
          </cell>
          <cell r="E73">
            <v>5</v>
          </cell>
        </row>
        <row r="74">
          <cell r="D74" t="str">
            <v>AL501ConformanceLabor</v>
          </cell>
          <cell r="E74">
            <v>5</v>
          </cell>
        </row>
        <row r="75">
          <cell r="D75" t="str">
            <v>AL501PriorityLabor</v>
          </cell>
          <cell r="E75">
            <v>0</v>
          </cell>
        </row>
        <row r="76">
          <cell r="D76" t="str">
            <v>AL501MajorLabor</v>
          </cell>
          <cell r="E76">
            <v>1</v>
          </cell>
        </row>
        <row r="77">
          <cell r="D77" t="str">
            <v>AL501MinorLabor</v>
          </cell>
          <cell r="E77">
            <v>3</v>
          </cell>
        </row>
        <row r="78">
          <cell r="D78" t="str">
            <v>AL501N/ALabor</v>
          </cell>
          <cell r="E78">
            <v>5</v>
          </cell>
        </row>
        <row r="79">
          <cell r="D79" t="str">
            <v>AL501Risk of NonconformanceLabor</v>
          </cell>
          <cell r="E79">
            <v>5</v>
          </cell>
        </row>
        <row r="80">
          <cell r="D80" t="str">
            <v>AL502ConformanceLabor</v>
          </cell>
          <cell r="E80">
            <v>3</v>
          </cell>
        </row>
        <row r="81">
          <cell r="D81" t="str">
            <v>AL502PriorityLabor</v>
          </cell>
          <cell r="E81">
            <v>0</v>
          </cell>
        </row>
        <row r="82">
          <cell r="D82" t="str">
            <v>AL502MajorLabor</v>
          </cell>
          <cell r="E82">
            <v>0</v>
          </cell>
        </row>
        <row r="83">
          <cell r="D83" t="str">
            <v>AL502MinorLabor</v>
          </cell>
          <cell r="E83">
            <v>1</v>
          </cell>
        </row>
        <row r="84">
          <cell r="D84" t="str">
            <v>AL502N/ALabor</v>
          </cell>
          <cell r="E84">
            <v>3</v>
          </cell>
        </row>
        <row r="85">
          <cell r="D85" t="str">
            <v>AL502Risk of NonconformanceLabor</v>
          </cell>
          <cell r="E85">
            <v>3</v>
          </cell>
        </row>
        <row r="86">
          <cell r="D86" t="str">
            <v>AL503ConformanceLabor</v>
          </cell>
          <cell r="E86">
            <v>1</v>
          </cell>
        </row>
        <row r="87">
          <cell r="D87" t="str">
            <v>AL503PriorityLabor</v>
          </cell>
          <cell r="E87">
            <v>0</v>
          </cell>
        </row>
        <row r="88">
          <cell r="D88" t="str">
            <v>AL503MajorLabor</v>
          </cell>
          <cell r="E88">
            <v>0.2</v>
          </cell>
        </row>
        <row r="89">
          <cell r="D89" t="str">
            <v>AL503MinorLabor</v>
          </cell>
          <cell r="E89">
            <v>0.5</v>
          </cell>
        </row>
        <row r="90">
          <cell r="D90" t="str">
            <v>AL503N/ALabor</v>
          </cell>
          <cell r="E90">
            <v>1</v>
          </cell>
        </row>
        <row r="91">
          <cell r="D91" t="str">
            <v>AL503Risk of NonconformanceLabor</v>
          </cell>
          <cell r="E91">
            <v>1</v>
          </cell>
        </row>
        <row r="92">
          <cell r="D92" t="str">
            <v>AL504ConformanceLabor</v>
          </cell>
          <cell r="E92">
            <v>1</v>
          </cell>
        </row>
        <row r="93">
          <cell r="D93" t="str">
            <v>AL504PriorityLabor</v>
          </cell>
          <cell r="E93">
            <v>0</v>
          </cell>
        </row>
        <row r="94">
          <cell r="D94" t="str">
            <v>AL504MajorLabor</v>
          </cell>
          <cell r="E94">
            <v>0.2</v>
          </cell>
        </row>
        <row r="95">
          <cell r="D95" t="str">
            <v>AL504MinorLabor</v>
          </cell>
          <cell r="E95">
            <v>0.5</v>
          </cell>
        </row>
        <row r="96">
          <cell r="D96" t="str">
            <v>AL504N/ALabor</v>
          </cell>
          <cell r="E96">
            <v>1</v>
          </cell>
        </row>
        <row r="97">
          <cell r="D97" t="str">
            <v>AL504Risk of NonconformanceLabor</v>
          </cell>
          <cell r="E97">
            <v>1</v>
          </cell>
        </row>
        <row r="98">
          <cell r="D98" t="str">
            <v>AL601ConformanceLabor</v>
          </cell>
          <cell r="E98">
            <v>2</v>
          </cell>
        </row>
        <row r="99">
          <cell r="D99" t="str">
            <v>AL601PriorityLabor</v>
          </cell>
          <cell r="E99">
            <v>0</v>
          </cell>
        </row>
        <row r="100">
          <cell r="D100" t="str">
            <v>AL601MajorLabor</v>
          </cell>
          <cell r="E100">
            <v>0.5</v>
          </cell>
        </row>
        <row r="101">
          <cell r="D101" t="str">
            <v>AL601MinorLabor</v>
          </cell>
          <cell r="E101">
            <v>1</v>
          </cell>
        </row>
        <row r="102">
          <cell r="D102" t="str">
            <v>AL601N/ALabor</v>
          </cell>
          <cell r="E102">
            <v>2</v>
          </cell>
        </row>
        <row r="103">
          <cell r="D103" t="str">
            <v>AL601Risk of NonconformanceLabor</v>
          </cell>
          <cell r="E103">
            <v>2</v>
          </cell>
        </row>
        <row r="104">
          <cell r="D104" t="str">
            <v>AL602ConformanceLabor</v>
          </cell>
          <cell r="E104">
            <v>2</v>
          </cell>
        </row>
        <row r="105">
          <cell r="D105" t="str">
            <v>AL602PriorityLabor</v>
          </cell>
          <cell r="E105">
            <v>0</v>
          </cell>
        </row>
        <row r="106">
          <cell r="D106" t="str">
            <v>AL602MajorLabor</v>
          </cell>
          <cell r="E106">
            <v>0.5</v>
          </cell>
        </row>
        <row r="107">
          <cell r="D107" t="str">
            <v>AL602MinorLabor</v>
          </cell>
          <cell r="E107">
            <v>1</v>
          </cell>
        </row>
        <row r="108">
          <cell r="D108" t="str">
            <v>AL602N/ALabor</v>
          </cell>
          <cell r="E108">
            <v>2</v>
          </cell>
        </row>
        <row r="109">
          <cell r="D109" t="str">
            <v>AL602Risk of NonconformanceLabor</v>
          </cell>
          <cell r="E109">
            <v>2</v>
          </cell>
        </row>
        <row r="110">
          <cell r="D110" t="str">
            <v>AL603ConformanceLabor</v>
          </cell>
          <cell r="E110">
            <v>2</v>
          </cell>
        </row>
        <row r="111">
          <cell r="D111" t="str">
            <v>AL603PriorityLabor</v>
          </cell>
          <cell r="E111">
            <v>0</v>
          </cell>
        </row>
        <row r="112">
          <cell r="D112" t="str">
            <v>AL603MajorLabor</v>
          </cell>
          <cell r="E112">
            <v>0.5</v>
          </cell>
        </row>
        <row r="113">
          <cell r="D113" t="str">
            <v>AL603MinorLabor</v>
          </cell>
          <cell r="E113">
            <v>1</v>
          </cell>
        </row>
        <row r="114">
          <cell r="D114" t="str">
            <v>AL603N/ALabor</v>
          </cell>
          <cell r="E114">
            <v>2</v>
          </cell>
        </row>
        <row r="115">
          <cell r="D115" t="str">
            <v>AL603Risk of NonconformanceLabor</v>
          </cell>
          <cell r="E115">
            <v>2</v>
          </cell>
        </row>
        <row r="116">
          <cell r="D116" t="str">
            <v>AM101ConformanceLabor</v>
          </cell>
          <cell r="E116">
            <v>0.5</v>
          </cell>
        </row>
        <row r="117">
          <cell r="D117" t="str">
            <v>AM101PriorityLabor</v>
          </cell>
          <cell r="E117">
            <v>0</v>
          </cell>
        </row>
        <row r="118">
          <cell r="D118" t="str">
            <v>AM101MajorLabor</v>
          </cell>
          <cell r="E118">
            <v>0.1</v>
          </cell>
        </row>
        <row r="119">
          <cell r="D119" t="str">
            <v>AM101MinorLabor</v>
          </cell>
          <cell r="E119">
            <v>0.3</v>
          </cell>
        </row>
        <row r="120">
          <cell r="D120" t="str">
            <v>AM101N/ALabor</v>
          </cell>
          <cell r="E120">
            <v>0.5</v>
          </cell>
        </row>
        <row r="121">
          <cell r="D121" t="str">
            <v>AM101Risk of NonconformanceLabor</v>
          </cell>
          <cell r="E121">
            <v>0.5</v>
          </cell>
        </row>
        <row r="122">
          <cell r="D122" t="str">
            <v>AM102ConformanceLabor</v>
          </cell>
          <cell r="E122">
            <v>0.5</v>
          </cell>
        </row>
        <row r="123">
          <cell r="D123" t="str">
            <v>AM102PriorityLabor</v>
          </cell>
          <cell r="E123">
            <v>0</v>
          </cell>
        </row>
        <row r="124">
          <cell r="D124" t="str">
            <v>AM102MajorLabor</v>
          </cell>
          <cell r="E124">
            <v>0.1</v>
          </cell>
        </row>
        <row r="125">
          <cell r="D125" t="str">
            <v>AM102MinorLabor</v>
          </cell>
          <cell r="E125">
            <v>0.3</v>
          </cell>
        </row>
        <row r="126">
          <cell r="D126" t="str">
            <v>AM102N/ALabor</v>
          </cell>
          <cell r="E126">
            <v>0.5</v>
          </cell>
        </row>
        <row r="127">
          <cell r="D127" t="str">
            <v>AM102Risk of NonconformanceLabor</v>
          </cell>
          <cell r="E127">
            <v>0.5</v>
          </cell>
        </row>
        <row r="128">
          <cell r="D128" t="str">
            <v>AM201ConformanceLabor</v>
          </cell>
          <cell r="E128">
            <v>0.5</v>
          </cell>
        </row>
        <row r="129">
          <cell r="D129" t="str">
            <v>AM201PriorityLabor</v>
          </cell>
          <cell r="E129">
            <v>0</v>
          </cell>
        </row>
        <row r="130">
          <cell r="D130" t="str">
            <v>AM201MajorLabor</v>
          </cell>
          <cell r="E130">
            <v>0.1</v>
          </cell>
        </row>
        <row r="131">
          <cell r="D131" t="str">
            <v>AM201MinorLabor</v>
          </cell>
          <cell r="E131">
            <v>0.3</v>
          </cell>
        </row>
        <row r="132">
          <cell r="D132" t="str">
            <v>AM201N/ALabor</v>
          </cell>
          <cell r="E132">
            <v>0.5</v>
          </cell>
        </row>
        <row r="133">
          <cell r="D133" t="str">
            <v>AM201Risk of NonconformanceLabor</v>
          </cell>
          <cell r="E133">
            <v>0.5</v>
          </cell>
        </row>
        <row r="134">
          <cell r="D134" t="str">
            <v>AM202ConformanceLabor</v>
          </cell>
          <cell r="E134">
            <v>0.5</v>
          </cell>
        </row>
        <row r="135">
          <cell r="D135" t="str">
            <v>AM202PriorityLabor</v>
          </cell>
          <cell r="E135">
            <v>0</v>
          </cell>
        </row>
        <row r="136">
          <cell r="D136" t="str">
            <v>AM202MajorLabor</v>
          </cell>
          <cell r="E136">
            <v>0.1</v>
          </cell>
        </row>
        <row r="137">
          <cell r="D137" t="str">
            <v>AM202MinorLabor</v>
          </cell>
          <cell r="E137">
            <v>0.3</v>
          </cell>
        </row>
        <row r="138">
          <cell r="D138" t="str">
            <v>AM202N/ALabor</v>
          </cell>
          <cell r="E138">
            <v>0.5</v>
          </cell>
        </row>
        <row r="139">
          <cell r="D139" t="str">
            <v>AM202Risk of NonconformanceLabor</v>
          </cell>
          <cell r="E139">
            <v>0.5</v>
          </cell>
        </row>
        <row r="140">
          <cell r="D140" t="str">
            <v>AM203ConformanceLabor</v>
          </cell>
          <cell r="E140">
            <v>0.5</v>
          </cell>
        </row>
        <row r="141">
          <cell r="D141" t="str">
            <v>AM203PriorityLabor</v>
          </cell>
          <cell r="E141">
            <v>0</v>
          </cell>
        </row>
        <row r="142">
          <cell r="D142" t="str">
            <v>AM203MajorLabor</v>
          </cell>
          <cell r="E142">
            <v>0.1</v>
          </cell>
        </row>
        <row r="143">
          <cell r="D143" t="str">
            <v>AM203MinorLabor</v>
          </cell>
          <cell r="E143">
            <v>0.3</v>
          </cell>
        </row>
        <row r="144">
          <cell r="D144" t="str">
            <v>AM203N/ALabor</v>
          </cell>
          <cell r="E144">
            <v>0.5</v>
          </cell>
        </row>
        <row r="145">
          <cell r="D145" t="str">
            <v>AM203Risk of NonconformanceLabor</v>
          </cell>
          <cell r="E145">
            <v>0.5</v>
          </cell>
        </row>
        <row r="146">
          <cell r="D146" t="str">
            <v>AM301ConformanceLabor</v>
          </cell>
          <cell r="E146">
            <v>0.5</v>
          </cell>
        </row>
        <row r="147">
          <cell r="D147" t="str">
            <v>AM301PriorityLabor</v>
          </cell>
          <cell r="E147">
            <v>0</v>
          </cell>
        </row>
        <row r="148">
          <cell r="D148" t="str">
            <v>AM301MajorLabor</v>
          </cell>
          <cell r="E148">
            <v>0.1</v>
          </cell>
        </row>
        <row r="149">
          <cell r="D149" t="str">
            <v>AM301MinorLabor</v>
          </cell>
          <cell r="E149">
            <v>0.3</v>
          </cell>
        </row>
        <row r="150">
          <cell r="D150" t="str">
            <v>AM301N/ALabor</v>
          </cell>
          <cell r="E150">
            <v>0.5</v>
          </cell>
        </row>
        <row r="151">
          <cell r="D151" t="str">
            <v>AM301Risk of NonconformanceLabor</v>
          </cell>
          <cell r="E151">
            <v>0.5</v>
          </cell>
        </row>
        <row r="152">
          <cell r="D152" t="str">
            <v>AM302ConformanceLabor</v>
          </cell>
          <cell r="E152">
            <v>0.5</v>
          </cell>
        </row>
        <row r="153">
          <cell r="D153" t="str">
            <v>AM302PriorityLabor</v>
          </cell>
          <cell r="E153">
            <v>0</v>
          </cell>
        </row>
        <row r="154">
          <cell r="D154" t="str">
            <v>AM302MajorLabor</v>
          </cell>
          <cell r="E154">
            <v>0.1</v>
          </cell>
        </row>
        <row r="155">
          <cell r="D155" t="str">
            <v>AM302MinorLabor</v>
          </cell>
          <cell r="E155">
            <v>0.3</v>
          </cell>
        </row>
        <row r="156">
          <cell r="D156" t="str">
            <v>AM302N/ALabor</v>
          </cell>
          <cell r="E156">
            <v>0.5</v>
          </cell>
        </row>
        <row r="157">
          <cell r="D157" t="str">
            <v>AM302Risk of NonconformanceLabor</v>
          </cell>
          <cell r="E157">
            <v>0.5</v>
          </cell>
        </row>
        <row r="158">
          <cell r="D158" t="str">
            <v>AM401ConformanceLabor</v>
          </cell>
          <cell r="E158">
            <v>0.5</v>
          </cell>
        </row>
        <row r="159">
          <cell r="D159" t="str">
            <v>AM401PriorityLabor</v>
          </cell>
          <cell r="E159">
            <v>0</v>
          </cell>
        </row>
        <row r="160">
          <cell r="D160" t="str">
            <v>AM401MajorLabor</v>
          </cell>
          <cell r="E160">
            <v>0.1</v>
          </cell>
        </row>
        <row r="161">
          <cell r="D161" t="str">
            <v>AM401MinorLabor</v>
          </cell>
          <cell r="E161">
            <v>0.3</v>
          </cell>
        </row>
        <row r="162">
          <cell r="D162" t="str">
            <v>AM401N/ALabor</v>
          </cell>
          <cell r="E162">
            <v>0.5</v>
          </cell>
        </row>
        <row r="163">
          <cell r="D163" t="str">
            <v>AM401Risk of NonconformanceLabor</v>
          </cell>
          <cell r="E163">
            <v>0.5</v>
          </cell>
        </row>
        <row r="164">
          <cell r="D164" t="str">
            <v>AM402ConformanceLabor</v>
          </cell>
          <cell r="E164">
            <v>0.5</v>
          </cell>
        </row>
        <row r="165">
          <cell r="D165" t="str">
            <v>AM402PriorityLabor</v>
          </cell>
          <cell r="E165">
            <v>0</v>
          </cell>
        </row>
        <row r="166">
          <cell r="D166" t="str">
            <v>AM402MajorLabor</v>
          </cell>
          <cell r="E166">
            <v>0.1</v>
          </cell>
        </row>
        <row r="167">
          <cell r="D167" t="str">
            <v>AM402MinorLabor</v>
          </cell>
          <cell r="E167">
            <v>0.3</v>
          </cell>
        </row>
        <row r="168">
          <cell r="D168" t="str">
            <v>AM402N/ALabor</v>
          </cell>
          <cell r="E168">
            <v>0.5</v>
          </cell>
        </row>
        <row r="169">
          <cell r="D169" t="str">
            <v>AM402Risk of NonconformanceLabor</v>
          </cell>
          <cell r="E169">
            <v>0.5</v>
          </cell>
        </row>
        <row r="170">
          <cell r="D170" t="str">
            <v>AM403ConformanceLabor</v>
          </cell>
          <cell r="E170">
            <v>0.5</v>
          </cell>
        </row>
        <row r="171">
          <cell r="D171" t="str">
            <v>AM403PriorityLabor</v>
          </cell>
          <cell r="E171">
            <v>0</v>
          </cell>
        </row>
        <row r="172">
          <cell r="D172" t="str">
            <v>AM403MajorLabor</v>
          </cell>
          <cell r="E172">
            <v>0.1</v>
          </cell>
        </row>
        <row r="173">
          <cell r="D173" t="str">
            <v>AM403MinorLabor</v>
          </cell>
          <cell r="E173">
            <v>0.3</v>
          </cell>
        </row>
        <row r="174">
          <cell r="D174" t="str">
            <v>AM403N/ALabor</v>
          </cell>
          <cell r="E174">
            <v>0.5</v>
          </cell>
        </row>
        <row r="175">
          <cell r="D175" t="str">
            <v>AM403Risk of NonconformanceLabor</v>
          </cell>
          <cell r="E175">
            <v>0.5</v>
          </cell>
        </row>
        <row r="176">
          <cell r="D176" t="str">
            <v>BH101ConformanceEHS</v>
          </cell>
          <cell r="E176">
            <v>3</v>
          </cell>
        </row>
        <row r="177">
          <cell r="D177" t="str">
            <v>BH101PriorityEHS</v>
          </cell>
          <cell r="E177">
            <v>0</v>
          </cell>
        </row>
        <row r="178">
          <cell r="D178" t="str">
            <v>BH101MajorEHS</v>
          </cell>
          <cell r="E178">
            <v>1</v>
          </cell>
        </row>
        <row r="179">
          <cell r="D179" t="str">
            <v>BH101MinorEHS</v>
          </cell>
          <cell r="E179">
            <v>2</v>
          </cell>
        </row>
        <row r="180">
          <cell r="D180" t="str">
            <v>BH101N/AEHS</v>
          </cell>
          <cell r="E180">
            <v>3</v>
          </cell>
        </row>
        <row r="181">
          <cell r="D181" t="str">
            <v>BH101Risk of NonconformanceEHS</v>
          </cell>
          <cell r="E181">
            <v>3</v>
          </cell>
        </row>
        <row r="182">
          <cell r="D182" t="str">
            <v>BH102ConformanceEHS</v>
          </cell>
          <cell r="E182">
            <v>5</v>
          </cell>
        </row>
        <row r="183">
          <cell r="D183" t="str">
            <v>BH102PriorityEHS</v>
          </cell>
          <cell r="E183">
            <v>0</v>
          </cell>
        </row>
        <row r="184">
          <cell r="D184" t="str">
            <v>BH102MajorEHS</v>
          </cell>
          <cell r="E184">
            <v>1</v>
          </cell>
        </row>
        <row r="185">
          <cell r="D185" t="str">
            <v>BH102MinorEHS</v>
          </cell>
          <cell r="E185">
            <v>3</v>
          </cell>
        </row>
        <row r="186">
          <cell r="D186" t="str">
            <v>BH102N/AEHS</v>
          </cell>
          <cell r="E186">
            <v>5</v>
          </cell>
        </row>
        <row r="187">
          <cell r="D187" t="str">
            <v>BH102Risk of NonconformanceEHS</v>
          </cell>
          <cell r="E187">
            <v>5</v>
          </cell>
        </row>
        <row r="188">
          <cell r="D188" t="str">
            <v>BH103ConformanceEHS</v>
          </cell>
          <cell r="E188">
            <v>2</v>
          </cell>
        </row>
        <row r="189">
          <cell r="D189" t="str">
            <v>BH103PriorityEHS</v>
          </cell>
          <cell r="E189">
            <v>0</v>
          </cell>
        </row>
        <row r="190">
          <cell r="D190" t="str">
            <v>BH103MajorEHS</v>
          </cell>
          <cell r="E190">
            <v>0.5</v>
          </cell>
        </row>
        <row r="191">
          <cell r="D191" t="str">
            <v>BH103MinorEHS</v>
          </cell>
          <cell r="E191">
            <v>1</v>
          </cell>
        </row>
        <row r="192">
          <cell r="D192" t="str">
            <v>BH103N/AEHS</v>
          </cell>
          <cell r="E192">
            <v>2</v>
          </cell>
        </row>
        <row r="193">
          <cell r="D193" t="str">
            <v>BH103Risk of NonconformanceEHS</v>
          </cell>
          <cell r="E193">
            <v>2</v>
          </cell>
        </row>
        <row r="194">
          <cell r="D194" t="str">
            <v>BH201ConformanceEHS</v>
          </cell>
          <cell r="E194">
            <v>6</v>
          </cell>
        </row>
        <row r="195">
          <cell r="D195" t="str">
            <v>BH201PriorityEHS</v>
          </cell>
          <cell r="E195">
            <v>0</v>
          </cell>
        </row>
        <row r="196">
          <cell r="D196" t="str">
            <v>BH201MajorEHS</v>
          </cell>
          <cell r="E196">
            <v>2</v>
          </cell>
        </row>
        <row r="197">
          <cell r="D197" t="str">
            <v>BH201MinorEHS</v>
          </cell>
          <cell r="E197">
            <v>4</v>
          </cell>
        </row>
        <row r="198">
          <cell r="D198" t="str">
            <v>BH201N/AEHS</v>
          </cell>
          <cell r="E198">
            <v>6</v>
          </cell>
        </row>
        <row r="199">
          <cell r="D199" t="str">
            <v>BH201Risk of NonconformanceEHS</v>
          </cell>
          <cell r="E199">
            <v>6</v>
          </cell>
        </row>
        <row r="200">
          <cell r="D200" t="str">
            <v>BH202ConformanceEHS</v>
          </cell>
          <cell r="E200">
            <v>3</v>
          </cell>
        </row>
        <row r="201">
          <cell r="D201" t="str">
            <v>BH202PriorityEHS</v>
          </cell>
          <cell r="E201">
            <v>0</v>
          </cell>
        </row>
        <row r="202">
          <cell r="D202" t="str">
            <v>BH202MajorEHS</v>
          </cell>
          <cell r="E202">
            <v>1</v>
          </cell>
        </row>
        <row r="203">
          <cell r="D203" t="str">
            <v>BH202MinorEHS</v>
          </cell>
          <cell r="E203">
            <v>2</v>
          </cell>
        </row>
        <row r="204">
          <cell r="D204" t="str">
            <v>BH202N/AEHS</v>
          </cell>
          <cell r="E204">
            <v>3</v>
          </cell>
        </row>
        <row r="205">
          <cell r="D205" t="str">
            <v>BH202Risk of NonconformanceEHS</v>
          </cell>
          <cell r="E205">
            <v>3</v>
          </cell>
        </row>
        <row r="206">
          <cell r="D206" t="str">
            <v>BH203ConformanceEHS</v>
          </cell>
          <cell r="E206">
            <v>3</v>
          </cell>
        </row>
        <row r="207">
          <cell r="D207" t="str">
            <v>BH203PriorityEHS</v>
          </cell>
          <cell r="E207">
            <v>0</v>
          </cell>
        </row>
        <row r="208">
          <cell r="D208" t="str">
            <v>BH203MajorEHS</v>
          </cell>
          <cell r="E208">
            <v>1</v>
          </cell>
        </row>
        <row r="209">
          <cell r="D209" t="str">
            <v>BH203MinorEHS</v>
          </cell>
          <cell r="E209">
            <v>2</v>
          </cell>
        </row>
        <row r="210">
          <cell r="D210" t="str">
            <v>BH203N/AEHS</v>
          </cell>
          <cell r="E210">
            <v>3</v>
          </cell>
        </row>
        <row r="211">
          <cell r="D211" t="str">
            <v>BH203Risk of NonconformanceEHS</v>
          </cell>
          <cell r="E211">
            <v>3</v>
          </cell>
        </row>
        <row r="212">
          <cell r="D212" t="str">
            <v>BH204ConformanceEHS</v>
          </cell>
          <cell r="E212">
            <v>2</v>
          </cell>
        </row>
        <row r="213">
          <cell r="D213" t="str">
            <v>BH204PriorityEHS</v>
          </cell>
          <cell r="E213">
            <v>0</v>
          </cell>
        </row>
        <row r="214">
          <cell r="D214" t="str">
            <v>BH204MajorEHS</v>
          </cell>
          <cell r="E214">
            <v>0.5</v>
          </cell>
        </row>
        <row r="215">
          <cell r="D215" t="str">
            <v>BH204MinorEHS</v>
          </cell>
          <cell r="E215">
            <v>1</v>
          </cell>
        </row>
        <row r="216">
          <cell r="D216" t="str">
            <v>BH204N/AEHS</v>
          </cell>
          <cell r="E216">
            <v>2</v>
          </cell>
        </row>
        <row r="217">
          <cell r="D217" t="str">
            <v>BH204Risk of NonconformanceEHS</v>
          </cell>
          <cell r="E217">
            <v>2</v>
          </cell>
        </row>
        <row r="218">
          <cell r="D218" t="str">
            <v>BH301ConformanceEHS</v>
          </cell>
          <cell r="E218">
            <v>2</v>
          </cell>
        </row>
        <row r="219">
          <cell r="D219" t="str">
            <v>BH301PriorityEHS</v>
          </cell>
          <cell r="E219">
            <v>0</v>
          </cell>
        </row>
        <row r="220">
          <cell r="D220" t="str">
            <v>BH301MajorEHS</v>
          </cell>
          <cell r="E220">
            <v>0.5</v>
          </cell>
        </row>
        <row r="221">
          <cell r="D221" t="str">
            <v>BH301MinorEHS</v>
          </cell>
          <cell r="E221">
            <v>1</v>
          </cell>
        </row>
        <row r="222">
          <cell r="D222" t="str">
            <v>BH301N/AEHS</v>
          </cell>
          <cell r="E222">
            <v>2</v>
          </cell>
        </row>
        <row r="223">
          <cell r="D223" t="str">
            <v>BH301Risk of NonconformanceEHS</v>
          </cell>
          <cell r="E223">
            <v>2</v>
          </cell>
        </row>
        <row r="224">
          <cell r="D224" t="str">
            <v>BH302ConformanceEHS</v>
          </cell>
          <cell r="E224">
            <v>2</v>
          </cell>
        </row>
        <row r="225">
          <cell r="D225" t="str">
            <v>BH302PriorityEHS</v>
          </cell>
          <cell r="E225">
            <v>0</v>
          </cell>
        </row>
        <row r="226">
          <cell r="D226" t="str">
            <v>BH302MajorEHS</v>
          </cell>
          <cell r="E226">
            <v>0.5</v>
          </cell>
        </row>
        <row r="227">
          <cell r="D227" t="str">
            <v>BH302MinorEHS</v>
          </cell>
          <cell r="E227">
            <v>1</v>
          </cell>
        </row>
        <row r="228">
          <cell r="D228" t="str">
            <v>BH302N/AEHS</v>
          </cell>
          <cell r="E228">
            <v>2</v>
          </cell>
        </row>
        <row r="229">
          <cell r="D229" t="str">
            <v>BH302Risk of NonconformanceEHS</v>
          </cell>
          <cell r="E229">
            <v>2</v>
          </cell>
        </row>
        <row r="230">
          <cell r="D230" t="str">
            <v>BH401ConformanceEHS</v>
          </cell>
          <cell r="E230">
            <v>6</v>
          </cell>
        </row>
        <row r="231">
          <cell r="D231" t="str">
            <v>BH401PriorityEHS</v>
          </cell>
          <cell r="E231">
            <v>0</v>
          </cell>
        </row>
        <row r="232">
          <cell r="D232" t="str">
            <v>BH401MajorEHS</v>
          </cell>
          <cell r="E232">
            <v>2</v>
          </cell>
        </row>
        <row r="233">
          <cell r="D233" t="str">
            <v>BH401MinorEHS</v>
          </cell>
          <cell r="E233">
            <v>4</v>
          </cell>
        </row>
        <row r="234">
          <cell r="D234" t="str">
            <v>BH401N/AEHS</v>
          </cell>
          <cell r="E234">
            <v>6</v>
          </cell>
        </row>
        <row r="235">
          <cell r="D235" t="str">
            <v>BH401Risk of NonconformanceEHS</v>
          </cell>
          <cell r="E235">
            <v>6</v>
          </cell>
        </row>
        <row r="236">
          <cell r="D236" t="str">
            <v>BH501ConformanceEHS</v>
          </cell>
          <cell r="E236">
            <v>2</v>
          </cell>
        </row>
        <row r="237">
          <cell r="D237" t="str">
            <v>BH501PriorityEHS</v>
          </cell>
          <cell r="E237">
            <v>0</v>
          </cell>
        </row>
        <row r="238">
          <cell r="D238" t="str">
            <v>BH501MajorEHS</v>
          </cell>
          <cell r="E238">
            <v>0.5</v>
          </cell>
        </row>
        <row r="239">
          <cell r="D239" t="str">
            <v>BH501MinorEHS</v>
          </cell>
          <cell r="E239">
            <v>1</v>
          </cell>
        </row>
        <row r="240">
          <cell r="D240" t="str">
            <v>BH501N/AEHS</v>
          </cell>
          <cell r="E240">
            <v>2</v>
          </cell>
        </row>
        <row r="241">
          <cell r="D241" t="str">
            <v>BH501Risk of NonconformanceEHS</v>
          </cell>
          <cell r="E241">
            <v>2</v>
          </cell>
        </row>
        <row r="242">
          <cell r="D242" t="str">
            <v>BH601ConformanceEHS</v>
          </cell>
          <cell r="E242">
            <v>6</v>
          </cell>
        </row>
        <row r="243">
          <cell r="D243" t="str">
            <v>BH601PriorityEHS</v>
          </cell>
          <cell r="E243">
            <v>0</v>
          </cell>
        </row>
        <row r="244">
          <cell r="D244" t="str">
            <v>BH601MajorEHS</v>
          </cell>
          <cell r="E244">
            <v>2</v>
          </cell>
        </row>
        <row r="245">
          <cell r="D245" t="str">
            <v>BH601MinorEHS</v>
          </cell>
          <cell r="E245">
            <v>4</v>
          </cell>
        </row>
        <row r="246">
          <cell r="D246" t="str">
            <v>BH601N/AEHS</v>
          </cell>
          <cell r="E246">
            <v>6</v>
          </cell>
        </row>
        <row r="247">
          <cell r="D247" t="str">
            <v>BH601Risk of NonconformanceEHS</v>
          </cell>
          <cell r="E247">
            <v>6</v>
          </cell>
        </row>
        <row r="248">
          <cell r="D248" t="str">
            <v>BH701ConformanceEHS</v>
          </cell>
          <cell r="E248">
            <v>2</v>
          </cell>
        </row>
        <row r="249">
          <cell r="D249" t="str">
            <v>BH701PriorityEHS</v>
          </cell>
          <cell r="E249">
            <v>0</v>
          </cell>
        </row>
        <row r="250">
          <cell r="D250" t="str">
            <v>BH701MajorEHS</v>
          </cell>
          <cell r="E250">
            <v>0.5</v>
          </cell>
        </row>
        <row r="251">
          <cell r="D251" t="str">
            <v>BH701MinorEHS</v>
          </cell>
          <cell r="E251">
            <v>1</v>
          </cell>
        </row>
        <row r="252">
          <cell r="D252" t="str">
            <v>BH701N/AEHS</v>
          </cell>
          <cell r="E252">
            <v>2</v>
          </cell>
        </row>
        <row r="253">
          <cell r="D253" t="str">
            <v>BH701Risk of NonconformanceEHS</v>
          </cell>
          <cell r="E253">
            <v>2</v>
          </cell>
        </row>
        <row r="254">
          <cell r="D254" t="str">
            <v>BH702ConformanceEHS</v>
          </cell>
          <cell r="E254">
            <v>2</v>
          </cell>
        </row>
        <row r="255">
          <cell r="D255" t="str">
            <v>BH702PriorityEHS</v>
          </cell>
          <cell r="E255">
            <v>0</v>
          </cell>
        </row>
        <row r="256">
          <cell r="D256" t="str">
            <v>BH702MajorEHS</v>
          </cell>
          <cell r="E256">
            <v>0.5</v>
          </cell>
        </row>
        <row r="257">
          <cell r="D257" t="str">
            <v>BH702MinorEHS</v>
          </cell>
          <cell r="E257">
            <v>1</v>
          </cell>
        </row>
        <row r="258">
          <cell r="D258" t="str">
            <v>BH702N/AEHS</v>
          </cell>
          <cell r="E258">
            <v>2</v>
          </cell>
        </row>
        <row r="259">
          <cell r="D259" t="str">
            <v>BH702Risk of NonconformanceEHS</v>
          </cell>
          <cell r="E259">
            <v>2</v>
          </cell>
        </row>
        <row r="260">
          <cell r="D260" t="str">
            <v>BM101ConformanceEHS</v>
          </cell>
          <cell r="E260">
            <v>1</v>
          </cell>
        </row>
        <row r="261">
          <cell r="D261" t="str">
            <v>BM101PriorityEHS</v>
          </cell>
          <cell r="E261">
            <v>0</v>
          </cell>
        </row>
        <row r="262">
          <cell r="D262" t="str">
            <v>BM101MajorEHS</v>
          </cell>
          <cell r="E262">
            <v>0.2</v>
          </cell>
        </row>
        <row r="263">
          <cell r="D263" t="str">
            <v>BM101MinorEHS</v>
          </cell>
          <cell r="E263">
            <v>0.5</v>
          </cell>
        </row>
        <row r="264">
          <cell r="D264" t="str">
            <v>BM101N/AEHS</v>
          </cell>
          <cell r="E264">
            <v>1</v>
          </cell>
        </row>
        <row r="265">
          <cell r="D265" t="str">
            <v>BM101Risk of NonconformanceEHS</v>
          </cell>
          <cell r="E265">
            <v>1</v>
          </cell>
        </row>
        <row r="266">
          <cell r="D266" t="str">
            <v>BM102ConformanceEHS</v>
          </cell>
          <cell r="E266">
            <v>3</v>
          </cell>
        </row>
        <row r="267">
          <cell r="D267" t="str">
            <v>BM102PriorityEHS</v>
          </cell>
          <cell r="E267">
            <v>0</v>
          </cell>
        </row>
        <row r="268">
          <cell r="D268" t="str">
            <v>BM102MajorEHS</v>
          </cell>
          <cell r="E268">
            <v>1</v>
          </cell>
        </row>
        <row r="269">
          <cell r="D269" t="str">
            <v>BM102MinorEHS</v>
          </cell>
          <cell r="E269">
            <v>2</v>
          </cell>
        </row>
        <row r="270">
          <cell r="D270" t="str">
            <v>BM102N/AEHS</v>
          </cell>
          <cell r="E270">
            <v>3</v>
          </cell>
        </row>
        <row r="271">
          <cell r="D271" t="str">
            <v>BM102Risk of NonconformanceEHS</v>
          </cell>
          <cell r="E271">
            <v>3</v>
          </cell>
        </row>
        <row r="272">
          <cell r="D272" t="str">
            <v>BM201ConformanceEHS</v>
          </cell>
          <cell r="E272">
            <v>2</v>
          </cell>
        </row>
        <row r="273">
          <cell r="D273" t="str">
            <v>BM201PriorityEHS</v>
          </cell>
          <cell r="E273">
            <v>0</v>
          </cell>
        </row>
        <row r="274">
          <cell r="D274" t="str">
            <v>BM201MajorEHS</v>
          </cell>
          <cell r="E274">
            <v>0.5</v>
          </cell>
        </row>
        <row r="275">
          <cell r="D275" t="str">
            <v>BM201MinorEHS</v>
          </cell>
          <cell r="E275">
            <v>1</v>
          </cell>
        </row>
        <row r="276">
          <cell r="D276" t="str">
            <v>BM201N/AEHS</v>
          </cell>
          <cell r="E276">
            <v>2</v>
          </cell>
        </row>
        <row r="277">
          <cell r="D277" t="str">
            <v>BM201Risk of NonconformanceEHS</v>
          </cell>
          <cell r="E277">
            <v>2</v>
          </cell>
        </row>
        <row r="278">
          <cell r="D278" t="str">
            <v>BM202ConformanceEHS</v>
          </cell>
          <cell r="E278">
            <v>1</v>
          </cell>
        </row>
        <row r="279">
          <cell r="D279" t="str">
            <v>BM202PriorityEHS</v>
          </cell>
          <cell r="E279">
            <v>0</v>
          </cell>
        </row>
        <row r="280">
          <cell r="D280" t="str">
            <v>BM202MajorEHS</v>
          </cell>
          <cell r="E280">
            <v>0.2</v>
          </cell>
        </row>
        <row r="281">
          <cell r="D281" t="str">
            <v>BM202MinorEHS</v>
          </cell>
          <cell r="E281">
            <v>0.5</v>
          </cell>
        </row>
        <row r="282">
          <cell r="D282" t="str">
            <v>BM202N/AEHS</v>
          </cell>
          <cell r="E282">
            <v>1</v>
          </cell>
        </row>
        <row r="283">
          <cell r="D283" t="str">
            <v>BM202Risk of NonconformanceEHS</v>
          </cell>
          <cell r="E283">
            <v>1</v>
          </cell>
        </row>
        <row r="284">
          <cell r="D284" t="str">
            <v>BM203ConformanceEHS</v>
          </cell>
          <cell r="E284">
            <v>2</v>
          </cell>
        </row>
        <row r="285">
          <cell r="D285" t="str">
            <v>BM203PriorityEHS</v>
          </cell>
          <cell r="E285">
            <v>0</v>
          </cell>
        </row>
        <row r="286">
          <cell r="D286" t="str">
            <v>BM203MajorEHS</v>
          </cell>
          <cell r="E286">
            <v>0.5</v>
          </cell>
        </row>
        <row r="287">
          <cell r="D287" t="str">
            <v>BM203MinorEHS</v>
          </cell>
          <cell r="E287">
            <v>1</v>
          </cell>
        </row>
        <row r="288">
          <cell r="D288" t="str">
            <v>BM203N/AEHS</v>
          </cell>
          <cell r="E288">
            <v>2</v>
          </cell>
        </row>
        <row r="289">
          <cell r="D289" t="str">
            <v>BM203Risk of NonconformanceEHS</v>
          </cell>
          <cell r="E289">
            <v>2</v>
          </cell>
        </row>
        <row r="290">
          <cell r="D290" t="str">
            <v>BM301ConformanceEHS</v>
          </cell>
          <cell r="E290">
            <v>1</v>
          </cell>
        </row>
        <row r="291">
          <cell r="D291" t="str">
            <v>BM301PriorityEHS</v>
          </cell>
          <cell r="E291">
            <v>0</v>
          </cell>
        </row>
        <row r="292">
          <cell r="D292" t="str">
            <v>BM301MajorEHS</v>
          </cell>
          <cell r="E292">
            <v>0.2</v>
          </cell>
        </row>
        <row r="293">
          <cell r="D293" t="str">
            <v>BM301MinorEHS</v>
          </cell>
          <cell r="E293">
            <v>0.5</v>
          </cell>
        </row>
        <row r="294">
          <cell r="D294" t="str">
            <v>BM301N/AEHS</v>
          </cell>
          <cell r="E294">
            <v>1</v>
          </cell>
        </row>
        <row r="295">
          <cell r="D295" t="str">
            <v>BM301Risk of NonconformanceEHS</v>
          </cell>
          <cell r="E295">
            <v>1</v>
          </cell>
        </row>
        <row r="296">
          <cell r="D296" t="str">
            <v>BM302ConformanceEHS</v>
          </cell>
          <cell r="E296">
            <v>1</v>
          </cell>
        </row>
        <row r="297">
          <cell r="D297" t="str">
            <v>BM302PriorityEHS</v>
          </cell>
          <cell r="E297">
            <v>0</v>
          </cell>
        </row>
        <row r="298">
          <cell r="D298" t="str">
            <v>BM302MajorEHS</v>
          </cell>
          <cell r="E298">
            <v>0.2</v>
          </cell>
        </row>
        <row r="299">
          <cell r="D299" t="str">
            <v>BM302MinorEHS</v>
          </cell>
          <cell r="E299">
            <v>0.5</v>
          </cell>
        </row>
        <row r="300">
          <cell r="D300" t="str">
            <v>BM302N/AEHS</v>
          </cell>
          <cell r="E300">
            <v>1</v>
          </cell>
        </row>
        <row r="301">
          <cell r="D301" t="str">
            <v>BM302Risk of NonconformanceEHS</v>
          </cell>
          <cell r="E301">
            <v>1</v>
          </cell>
        </row>
        <row r="302">
          <cell r="D302" t="str">
            <v>BM401ConformanceEHS</v>
          </cell>
          <cell r="E302">
            <v>1</v>
          </cell>
        </row>
        <row r="303">
          <cell r="D303" t="str">
            <v>BM401PriorityEHS</v>
          </cell>
          <cell r="E303">
            <v>0</v>
          </cell>
        </row>
        <row r="304">
          <cell r="D304" t="str">
            <v>BM401MajorEHS</v>
          </cell>
          <cell r="E304">
            <v>0.2</v>
          </cell>
        </row>
        <row r="305">
          <cell r="D305" t="str">
            <v>BM401MinorEHS</v>
          </cell>
          <cell r="E305">
            <v>0.5</v>
          </cell>
        </row>
        <row r="306">
          <cell r="D306" t="str">
            <v>BM401N/AEHS</v>
          </cell>
          <cell r="E306">
            <v>1</v>
          </cell>
        </row>
        <row r="307">
          <cell r="D307" t="str">
            <v>BM401Risk of NonconformanceEHS</v>
          </cell>
          <cell r="E307">
            <v>1</v>
          </cell>
        </row>
        <row r="308">
          <cell r="D308" t="str">
            <v>BM402ConformanceEHS</v>
          </cell>
          <cell r="E308">
            <v>1</v>
          </cell>
        </row>
        <row r="309">
          <cell r="D309" t="str">
            <v>BM402PriorityEHS</v>
          </cell>
          <cell r="E309">
            <v>0</v>
          </cell>
        </row>
        <row r="310">
          <cell r="D310" t="str">
            <v>BM402MajorEHS</v>
          </cell>
          <cell r="E310">
            <v>0.2</v>
          </cell>
        </row>
        <row r="311">
          <cell r="D311" t="str">
            <v>BM402MinorEHS</v>
          </cell>
          <cell r="E311">
            <v>0.5</v>
          </cell>
        </row>
        <row r="312">
          <cell r="D312" t="str">
            <v>BM402N/AEHS</v>
          </cell>
          <cell r="E312">
            <v>1</v>
          </cell>
        </row>
        <row r="313">
          <cell r="D313" t="str">
            <v>BM402Risk of NonconformanceEHS</v>
          </cell>
          <cell r="E313">
            <v>1</v>
          </cell>
        </row>
        <row r="314">
          <cell r="D314" t="str">
            <v>BM403ConformanceEHS</v>
          </cell>
          <cell r="E314">
            <v>1</v>
          </cell>
        </row>
        <row r="315">
          <cell r="D315" t="str">
            <v>BM403PriorityEHS</v>
          </cell>
          <cell r="E315">
            <v>0</v>
          </cell>
        </row>
        <row r="316">
          <cell r="D316" t="str">
            <v>BM403MajorEHS</v>
          </cell>
          <cell r="E316">
            <v>0.2</v>
          </cell>
        </row>
        <row r="317">
          <cell r="D317" t="str">
            <v>BM403MinorEHS</v>
          </cell>
          <cell r="E317">
            <v>0.5</v>
          </cell>
        </row>
        <row r="318">
          <cell r="D318" t="str">
            <v>BM403N/AEHS</v>
          </cell>
          <cell r="E318">
            <v>1</v>
          </cell>
        </row>
        <row r="319">
          <cell r="D319" t="str">
            <v>BM403Risk of NonconformanceEHS</v>
          </cell>
          <cell r="E319">
            <v>1</v>
          </cell>
        </row>
        <row r="320">
          <cell r="D320" t="str">
            <v>CE101ConformanceEHS</v>
          </cell>
          <cell r="E320">
            <v>6</v>
          </cell>
        </row>
        <row r="321">
          <cell r="D321" t="str">
            <v>CE101PriorityEHS</v>
          </cell>
          <cell r="E321">
            <v>0</v>
          </cell>
        </row>
        <row r="322">
          <cell r="D322" t="str">
            <v>CE101MajorEHS</v>
          </cell>
          <cell r="E322">
            <v>2</v>
          </cell>
        </row>
        <row r="323">
          <cell r="D323" t="str">
            <v>CE101MinorEHS</v>
          </cell>
          <cell r="E323">
            <v>4</v>
          </cell>
        </row>
        <row r="324">
          <cell r="D324" t="str">
            <v>CE101N/AEHS</v>
          </cell>
          <cell r="E324">
            <v>6</v>
          </cell>
        </row>
        <row r="325">
          <cell r="D325" t="str">
            <v>CE101Risk of NonconformanceEHS</v>
          </cell>
          <cell r="E325">
            <v>6</v>
          </cell>
        </row>
        <row r="326">
          <cell r="D326" t="str">
            <v>CE201ConformanceEHS</v>
          </cell>
          <cell r="E326">
            <v>5</v>
          </cell>
        </row>
        <row r="327">
          <cell r="D327" t="str">
            <v>CE201PriorityEHS</v>
          </cell>
          <cell r="E327">
            <v>0</v>
          </cell>
        </row>
        <row r="328">
          <cell r="D328" t="str">
            <v>CE201MajorEHS</v>
          </cell>
          <cell r="E328">
            <v>1</v>
          </cell>
        </row>
        <row r="329">
          <cell r="D329" t="str">
            <v>CE201MinorEHS</v>
          </cell>
          <cell r="E329">
            <v>3</v>
          </cell>
        </row>
        <row r="330">
          <cell r="D330" t="str">
            <v>CE201N/AEHS</v>
          </cell>
          <cell r="E330">
            <v>5</v>
          </cell>
        </row>
        <row r="331">
          <cell r="D331" t="str">
            <v>CE201Risk of NonconformanceEHS</v>
          </cell>
          <cell r="E331">
            <v>5</v>
          </cell>
        </row>
        <row r="332">
          <cell r="D332" t="str">
            <v>CE301ConformanceEHS</v>
          </cell>
          <cell r="E332">
            <v>3</v>
          </cell>
        </row>
        <row r="333">
          <cell r="D333" t="str">
            <v>CE301PriorityEHS</v>
          </cell>
          <cell r="E333">
            <v>0</v>
          </cell>
        </row>
        <row r="334">
          <cell r="D334" t="str">
            <v>CE301MajorEHS</v>
          </cell>
          <cell r="E334">
            <v>1</v>
          </cell>
        </row>
        <row r="335">
          <cell r="D335" t="str">
            <v>CE301MinorEHS</v>
          </cell>
          <cell r="E335">
            <v>2</v>
          </cell>
        </row>
        <row r="336">
          <cell r="D336" t="str">
            <v>CE301N/AEHS</v>
          </cell>
          <cell r="E336">
            <v>3</v>
          </cell>
        </row>
        <row r="337">
          <cell r="D337" t="str">
            <v>CE301Risk of NonconformanceEHS</v>
          </cell>
          <cell r="E337">
            <v>3</v>
          </cell>
        </row>
        <row r="338">
          <cell r="D338" t="str">
            <v>CE401ConformanceEHS</v>
          </cell>
          <cell r="E338">
            <v>5</v>
          </cell>
        </row>
        <row r="339">
          <cell r="D339" t="str">
            <v>CE401PriorityEHS</v>
          </cell>
          <cell r="E339">
            <v>0</v>
          </cell>
        </row>
        <row r="340">
          <cell r="D340" t="str">
            <v>CE401MajorEHS</v>
          </cell>
          <cell r="E340">
            <v>1</v>
          </cell>
        </row>
        <row r="341">
          <cell r="D341" t="str">
            <v>CE401MinorEHS</v>
          </cell>
          <cell r="E341">
            <v>3</v>
          </cell>
        </row>
        <row r="342">
          <cell r="D342" t="str">
            <v>CE401N/AEHS</v>
          </cell>
          <cell r="E342">
            <v>5</v>
          </cell>
        </row>
        <row r="343">
          <cell r="D343" t="str">
            <v>CE401Risk of NonconformanceEHS</v>
          </cell>
          <cell r="E343">
            <v>5</v>
          </cell>
        </row>
        <row r="344">
          <cell r="D344" t="str">
            <v>CE402ConformanceEHS</v>
          </cell>
          <cell r="E344">
            <v>1</v>
          </cell>
        </row>
        <row r="345">
          <cell r="D345" t="str">
            <v>CE402PriorityEHS</v>
          </cell>
          <cell r="E345">
            <v>0</v>
          </cell>
        </row>
        <row r="346">
          <cell r="D346" t="str">
            <v>CE402MajorEHS</v>
          </cell>
          <cell r="E346">
            <v>0.2</v>
          </cell>
        </row>
        <row r="347">
          <cell r="D347" t="str">
            <v>CE402MinorEHS</v>
          </cell>
          <cell r="E347">
            <v>0.5</v>
          </cell>
        </row>
        <row r="348">
          <cell r="D348" t="str">
            <v>CE402N/AEHS</v>
          </cell>
          <cell r="E348">
            <v>1</v>
          </cell>
        </row>
        <row r="349">
          <cell r="D349" t="str">
            <v>CE402Risk of NonconformanceEHS</v>
          </cell>
          <cell r="E349">
            <v>1</v>
          </cell>
        </row>
        <row r="350">
          <cell r="D350" t="str">
            <v>CE501ConformanceEHS</v>
          </cell>
          <cell r="E350">
            <v>5</v>
          </cell>
        </row>
        <row r="351">
          <cell r="D351" t="str">
            <v>CE501PriorityEHS</v>
          </cell>
          <cell r="E351">
            <v>0</v>
          </cell>
        </row>
        <row r="352">
          <cell r="D352" t="str">
            <v>CE501MajorEHS</v>
          </cell>
          <cell r="E352">
            <v>1</v>
          </cell>
        </row>
        <row r="353">
          <cell r="D353" t="str">
            <v>CE501MinorEHS</v>
          </cell>
          <cell r="E353">
            <v>3</v>
          </cell>
        </row>
        <row r="354">
          <cell r="D354" t="str">
            <v>CE501N/AEHS</v>
          </cell>
          <cell r="E354">
            <v>5</v>
          </cell>
        </row>
        <row r="355">
          <cell r="D355" t="str">
            <v>CE501Risk of NonconformanceEHS</v>
          </cell>
          <cell r="E355">
            <v>5</v>
          </cell>
        </row>
        <row r="356">
          <cell r="D356" t="str">
            <v>CE601ConformanceEHS</v>
          </cell>
          <cell r="E356">
            <v>3</v>
          </cell>
        </row>
        <row r="357">
          <cell r="D357" t="str">
            <v>CE601PriorityEHS</v>
          </cell>
          <cell r="E357">
            <v>0</v>
          </cell>
        </row>
        <row r="358">
          <cell r="D358" t="str">
            <v>CE601MajorEHS</v>
          </cell>
          <cell r="E358">
            <v>1</v>
          </cell>
        </row>
        <row r="359">
          <cell r="D359" t="str">
            <v>CE601MinorEHS</v>
          </cell>
          <cell r="E359">
            <v>2</v>
          </cell>
        </row>
        <row r="360">
          <cell r="D360" t="str">
            <v>CE601N/AEHS</v>
          </cell>
          <cell r="E360">
            <v>3</v>
          </cell>
        </row>
        <row r="361">
          <cell r="D361" t="str">
            <v>CE601Risk of NonconformanceEHS</v>
          </cell>
          <cell r="E361">
            <v>3</v>
          </cell>
        </row>
        <row r="362">
          <cell r="D362" t="str">
            <v>CM101ConformanceEHS</v>
          </cell>
          <cell r="E362">
            <v>1</v>
          </cell>
        </row>
        <row r="363">
          <cell r="D363" t="str">
            <v>CM101PriorityEHS</v>
          </cell>
          <cell r="E363">
            <v>0</v>
          </cell>
        </row>
        <row r="364">
          <cell r="D364" t="str">
            <v>CM101MajorEHS</v>
          </cell>
          <cell r="E364">
            <v>0.2</v>
          </cell>
        </row>
        <row r="365">
          <cell r="D365" t="str">
            <v>CM101MinorEHS</v>
          </cell>
          <cell r="E365">
            <v>0.5</v>
          </cell>
        </row>
        <row r="366">
          <cell r="D366" t="str">
            <v>CM101N/AEHS</v>
          </cell>
          <cell r="E366">
            <v>1</v>
          </cell>
        </row>
        <row r="367">
          <cell r="D367" t="str">
            <v>CM101Risk of NonconformanceEHS</v>
          </cell>
          <cell r="E367">
            <v>1</v>
          </cell>
        </row>
        <row r="368">
          <cell r="D368" t="str">
            <v>CM102ConformanceEHS</v>
          </cell>
          <cell r="E368">
            <v>2</v>
          </cell>
        </row>
        <row r="369">
          <cell r="D369" t="str">
            <v>CM102PriorityEHS</v>
          </cell>
          <cell r="E369">
            <v>0</v>
          </cell>
        </row>
        <row r="370">
          <cell r="D370" t="str">
            <v>CM102MajorEHS</v>
          </cell>
          <cell r="E370">
            <v>0.5</v>
          </cell>
        </row>
        <row r="371">
          <cell r="D371" t="str">
            <v>CM102MinorEHS</v>
          </cell>
          <cell r="E371">
            <v>1</v>
          </cell>
        </row>
        <row r="372">
          <cell r="D372" t="str">
            <v>CM102N/AEHS</v>
          </cell>
          <cell r="E372">
            <v>2</v>
          </cell>
        </row>
        <row r="373">
          <cell r="D373" t="str">
            <v>CM102Risk of NonconformanceEHS</v>
          </cell>
          <cell r="E373">
            <v>2</v>
          </cell>
        </row>
        <row r="374">
          <cell r="D374" t="str">
            <v>CM201ConformanceEHS</v>
          </cell>
          <cell r="E374">
            <v>1</v>
          </cell>
        </row>
        <row r="375">
          <cell r="D375" t="str">
            <v>CM201PriorityEHS</v>
          </cell>
          <cell r="E375">
            <v>0</v>
          </cell>
        </row>
        <row r="376">
          <cell r="D376" t="str">
            <v>CM201MajorEHS</v>
          </cell>
          <cell r="E376">
            <v>0.2</v>
          </cell>
        </row>
        <row r="377">
          <cell r="D377" t="str">
            <v>CM201MinorEHS</v>
          </cell>
          <cell r="E377">
            <v>0.5</v>
          </cell>
        </row>
        <row r="378">
          <cell r="D378" t="str">
            <v>CM201N/AEHS</v>
          </cell>
          <cell r="E378">
            <v>1</v>
          </cell>
        </row>
        <row r="379">
          <cell r="D379" t="str">
            <v>CM201Risk of NonconformanceEHS</v>
          </cell>
          <cell r="E379">
            <v>1</v>
          </cell>
        </row>
        <row r="380">
          <cell r="D380" t="str">
            <v>CM202ConformanceEHS</v>
          </cell>
          <cell r="E380">
            <v>1</v>
          </cell>
        </row>
        <row r="381">
          <cell r="D381" t="str">
            <v>CM202PriorityEHS</v>
          </cell>
          <cell r="E381">
            <v>0</v>
          </cell>
        </row>
        <row r="382">
          <cell r="D382" t="str">
            <v>CM202MajorEHS</v>
          </cell>
          <cell r="E382">
            <v>0.2</v>
          </cell>
        </row>
        <row r="383">
          <cell r="D383" t="str">
            <v>CM202MinorEHS</v>
          </cell>
          <cell r="E383">
            <v>0.5</v>
          </cell>
        </row>
        <row r="384">
          <cell r="D384" t="str">
            <v>CM202N/AEHS</v>
          </cell>
          <cell r="E384">
            <v>1</v>
          </cell>
        </row>
        <row r="385">
          <cell r="D385" t="str">
            <v>CM202Risk of NonconformanceEHS</v>
          </cell>
          <cell r="E385">
            <v>1</v>
          </cell>
        </row>
        <row r="386">
          <cell r="D386" t="str">
            <v>CM203ConformanceEHS</v>
          </cell>
          <cell r="E386">
            <v>2</v>
          </cell>
        </row>
        <row r="387">
          <cell r="D387" t="str">
            <v>CM203PriorityEHS</v>
          </cell>
          <cell r="E387">
            <v>0</v>
          </cell>
        </row>
        <row r="388">
          <cell r="D388" t="str">
            <v>CM203MajorEHS</v>
          </cell>
          <cell r="E388">
            <v>0.5</v>
          </cell>
        </row>
        <row r="389">
          <cell r="D389" t="str">
            <v>CM203MinorEHS</v>
          </cell>
          <cell r="E389">
            <v>1</v>
          </cell>
        </row>
        <row r="390">
          <cell r="D390" t="str">
            <v>CM203N/AEHS</v>
          </cell>
          <cell r="E390">
            <v>2</v>
          </cell>
        </row>
        <row r="391">
          <cell r="D391" t="str">
            <v>CM203Risk of NonconformanceEHS</v>
          </cell>
          <cell r="E391">
            <v>2</v>
          </cell>
        </row>
        <row r="392">
          <cell r="D392" t="str">
            <v>CM301ConformanceEHS</v>
          </cell>
          <cell r="E392">
            <v>1</v>
          </cell>
        </row>
        <row r="393">
          <cell r="D393" t="str">
            <v>CM301PriorityEHS</v>
          </cell>
          <cell r="E393">
            <v>0</v>
          </cell>
        </row>
        <row r="394">
          <cell r="D394" t="str">
            <v>CM301MajorEHS</v>
          </cell>
          <cell r="E394">
            <v>0.2</v>
          </cell>
        </row>
        <row r="395">
          <cell r="D395" t="str">
            <v>CM301MinorEHS</v>
          </cell>
          <cell r="E395">
            <v>0.5</v>
          </cell>
        </row>
        <row r="396">
          <cell r="D396" t="str">
            <v>CM301N/AEHS</v>
          </cell>
          <cell r="E396">
            <v>1</v>
          </cell>
        </row>
        <row r="397">
          <cell r="D397" t="str">
            <v>CM301Risk of NonconformanceEHS</v>
          </cell>
          <cell r="E397">
            <v>1</v>
          </cell>
        </row>
        <row r="398">
          <cell r="D398" t="str">
            <v>CM302ConformanceEHS</v>
          </cell>
          <cell r="E398">
            <v>1</v>
          </cell>
        </row>
        <row r="399">
          <cell r="D399" t="str">
            <v>CM302PriorityEHS</v>
          </cell>
          <cell r="E399">
            <v>0</v>
          </cell>
        </row>
        <row r="400">
          <cell r="D400" t="str">
            <v>CM302MajorEHS</v>
          </cell>
          <cell r="E400">
            <v>0.2</v>
          </cell>
        </row>
        <row r="401">
          <cell r="D401" t="str">
            <v>CM302MinorEHS</v>
          </cell>
          <cell r="E401">
            <v>0.5</v>
          </cell>
        </row>
        <row r="402">
          <cell r="D402" t="str">
            <v>CM302N/AEHS</v>
          </cell>
          <cell r="E402">
            <v>1</v>
          </cell>
        </row>
        <row r="403">
          <cell r="D403" t="str">
            <v>CM302Risk of NonconformanceEHS</v>
          </cell>
          <cell r="E403">
            <v>1</v>
          </cell>
        </row>
        <row r="404">
          <cell r="D404" t="str">
            <v>CM401ConformanceEHS</v>
          </cell>
          <cell r="E404">
            <v>1</v>
          </cell>
        </row>
        <row r="405">
          <cell r="D405" t="str">
            <v>CM401PriorityEHS</v>
          </cell>
          <cell r="E405">
            <v>0</v>
          </cell>
        </row>
        <row r="406">
          <cell r="D406" t="str">
            <v>CM401MajorEHS</v>
          </cell>
          <cell r="E406">
            <v>0.2</v>
          </cell>
        </row>
        <row r="407">
          <cell r="D407" t="str">
            <v>CM401MinorEHS</v>
          </cell>
          <cell r="E407">
            <v>0.5</v>
          </cell>
        </row>
        <row r="408">
          <cell r="D408" t="str">
            <v>CM401N/AEHS</v>
          </cell>
          <cell r="E408">
            <v>1</v>
          </cell>
        </row>
        <row r="409">
          <cell r="D409" t="str">
            <v>CM401Risk of NonconformanceEHS</v>
          </cell>
          <cell r="E409">
            <v>1</v>
          </cell>
        </row>
        <row r="410">
          <cell r="D410" t="str">
            <v>CM402ConformanceEHS</v>
          </cell>
          <cell r="E410">
            <v>1</v>
          </cell>
        </row>
        <row r="411">
          <cell r="D411" t="str">
            <v>CM402PriorityEHS</v>
          </cell>
          <cell r="E411">
            <v>0</v>
          </cell>
        </row>
        <row r="412">
          <cell r="D412" t="str">
            <v>CM402MajorEHS</v>
          </cell>
          <cell r="E412">
            <v>0.2</v>
          </cell>
        </row>
        <row r="413">
          <cell r="D413" t="str">
            <v>CM402MinorEHS</v>
          </cell>
          <cell r="E413">
            <v>0.5</v>
          </cell>
        </row>
        <row r="414">
          <cell r="D414" t="str">
            <v>CM402N/AEHS</v>
          </cell>
          <cell r="E414">
            <v>1</v>
          </cell>
        </row>
        <row r="415">
          <cell r="D415" t="str">
            <v>CM402Risk of NonconformanceEHS</v>
          </cell>
          <cell r="E415">
            <v>1</v>
          </cell>
        </row>
        <row r="416">
          <cell r="D416" t="str">
            <v>CM403ConformanceEHS</v>
          </cell>
          <cell r="E416">
            <v>1</v>
          </cell>
        </row>
        <row r="417">
          <cell r="D417" t="str">
            <v>CM403PriorityEHS</v>
          </cell>
          <cell r="E417">
            <v>0</v>
          </cell>
        </row>
        <row r="418">
          <cell r="D418" t="str">
            <v>CM403MajorEHS</v>
          </cell>
          <cell r="E418">
            <v>0.2</v>
          </cell>
        </row>
        <row r="419">
          <cell r="D419" t="str">
            <v>CM403MinorEHS</v>
          </cell>
          <cell r="E419">
            <v>0.5</v>
          </cell>
        </row>
        <row r="420">
          <cell r="D420" t="str">
            <v>CM403N/AEHS</v>
          </cell>
          <cell r="E420">
            <v>1</v>
          </cell>
        </row>
        <row r="421">
          <cell r="D421" t="str">
            <v>CM403Risk of NonconformanceEHS</v>
          </cell>
          <cell r="E421">
            <v>1</v>
          </cell>
        </row>
        <row r="422">
          <cell r="D422" t="str">
            <v>DE101ConformanceLabor</v>
          </cell>
          <cell r="E422">
            <v>2</v>
          </cell>
        </row>
        <row r="423">
          <cell r="D423" t="str">
            <v>DE101PriorityLabor</v>
          </cell>
          <cell r="E423">
            <v>0</v>
          </cell>
        </row>
        <row r="424">
          <cell r="D424" t="str">
            <v>DE101MajorLabor</v>
          </cell>
          <cell r="E424">
            <v>0.5</v>
          </cell>
        </row>
        <row r="425">
          <cell r="D425" t="str">
            <v>DE101MinorLabor</v>
          </cell>
          <cell r="E425">
            <v>1</v>
          </cell>
        </row>
        <row r="426">
          <cell r="D426" t="str">
            <v>DE101N/ALabor</v>
          </cell>
          <cell r="E426">
            <v>2</v>
          </cell>
        </row>
        <row r="427">
          <cell r="D427" t="str">
            <v>DE101Risk of NonconformanceLabor</v>
          </cell>
          <cell r="E427">
            <v>2</v>
          </cell>
        </row>
        <row r="428">
          <cell r="D428" t="str">
            <v>DE201ConformanceLabor</v>
          </cell>
          <cell r="E428">
            <v>2</v>
          </cell>
        </row>
        <row r="429">
          <cell r="D429" t="str">
            <v>DE201PriorityLabor</v>
          </cell>
          <cell r="E429">
            <v>0</v>
          </cell>
        </row>
        <row r="430">
          <cell r="D430" t="str">
            <v>DE201MajorLabor</v>
          </cell>
          <cell r="E430">
            <v>0.5</v>
          </cell>
        </row>
        <row r="431">
          <cell r="D431" t="str">
            <v>DE201MinorLabor</v>
          </cell>
          <cell r="E431">
            <v>1</v>
          </cell>
        </row>
        <row r="432">
          <cell r="D432" t="str">
            <v>DE201N/ALabor</v>
          </cell>
          <cell r="E432">
            <v>2</v>
          </cell>
        </row>
        <row r="433">
          <cell r="D433" t="str">
            <v>DE201Risk of NonconformanceLabor</v>
          </cell>
          <cell r="E433">
            <v>2</v>
          </cell>
        </row>
        <row r="434">
          <cell r="D434" t="str">
            <v>DE301ConformanceLabor</v>
          </cell>
          <cell r="E434">
            <v>2</v>
          </cell>
        </row>
        <row r="435">
          <cell r="D435" t="str">
            <v>DE301PriorityLabor</v>
          </cell>
          <cell r="E435">
            <v>0</v>
          </cell>
        </row>
        <row r="436">
          <cell r="D436" t="str">
            <v>DE301MajorLabor</v>
          </cell>
          <cell r="E436">
            <v>0.5</v>
          </cell>
        </row>
        <row r="437">
          <cell r="D437" t="str">
            <v>DE301MinorLabor</v>
          </cell>
          <cell r="E437">
            <v>1</v>
          </cell>
        </row>
        <row r="438">
          <cell r="D438" t="str">
            <v>DE301N/ALabor</v>
          </cell>
          <cell r="E438">
            <v>2</v>
          </cell>
        </row>
        <row r="439">
          <cell r="D439" t="str">
            <v>DE301Risk of NonconformanceLabor</v>
          </cell>
          <cell r="E439">
            <v>2</v>
          </cell>
        </row>
        <row r="440">
          <cell r="D440" t="str">
            <v>DE401ConformanceLabor</v>
          </cell>
          <cell r="E440">
            <v>2</v>
          </cell>
        </row>
        <row r="441">
          <cell r="D441" t="str">
            <v>DE401PriorityLabor</v>
          </cell>
          <cell r="E441">
            <v>0</v>
          </cell>
        </row>
        <row r="442">
          <cell r="D442" t="str">
            <v>DE401MajorLabor</v>
          </cell>
          <cell r="E442">
            <v>0.5</v>
          </cell>
        </row>
        <row r="443">
          <cell r="D443" t="str">
            <v>DE401MinorLabor</v>
          </cell>
          <cell r="E443">
            <v>1</v>
          </cell>
        </row>
        <row r="444">
          <cell r="D444" t="str">
            <v>DE401N/ALabor</v>
          </cell>
          <cell r="E444">
            <v>2</v>
          </cell>
        </row>
        <row r="445">
          <cell r="D445" t="str">
            <v>DE401Risk of NonconformanceLabor</v>
          </cell>
          <cell r="E445">
            <v>2</v>
          </cell>
        </row>
        <row r="446">
          <cell r="D446" t="str">
            <v>DE501ConformanceLabor</v>
          </cell>
          <cell r="E446">
            <v>2</v>
          </cell>
        </row>
        <row r="447">
          <cell r="D447" t="str">
            <v>DE501PriorityLabor</v>
          </cell>
          <cell r="E447">
            <v>0</v>
          </cell>
        </row>
        <row r="448">
          <cell r="D448" t="str">
            <v>DE501MajorLabor</v>
          </cell>
          <cell r="E448">
            <v>0.5</v>
          </cell>
        </row>
        <row r="449">
          <cell r="D449" t="str">
            <v>DE501MinorLabor</v>
          </cell>
          <cell r="E449">
            <v>1</v>
          </cell>
        </row>
        <row r="450">
          <cell r="D450" t="str">
            <v>DE501N/ALabor</v>
          </cell>
          <cell r="E450">
            <v>2</v>
          </cell>
        </row>
        <row r="451">
          <cell r="D451" t="str">
            <v>DE501Risk of NonconformanceLabor</v>
          </cell>
          <cell r="E451">
            <v>2</v>
          </cell>
        </row>
        <row r="452">
          <cell r="D452" t="str">
            <v>DE601ConformanceLabor</v>
          </cell>
          <cell r="E452">
            <v>2</v>
          </cell>
        </row>
        <row r="453">
          <cell r="D453" t="str">
            <v>DE601PriorityLabor</v>
          </cell>
          <cell r="E453">
            <v>0</v>
          </cell>
        </row>
        <row r="454">
          <cell r="D454" t="str">
            <v>DE601MajorLabor</v>
          </cell>
          <cell r="E454">
            <v>0.5</v>
          </cell>
        </row>
        <row r="455">
          <cell r="D455" t="str">
            <v>DE601MinorLabor</v>
          </cell>
          <cell r="E455">
            <v>1</v>
          </cell>
        </row>
        <row r="456">
          <cell r="D456" t="str">
            <v>DE601N/ALabor</v>
          </cell>
          <cell r="E456">
            <v>2</v>
          </cell>
        </row>
        <row r="457">
          <cell r="D457" t="str">
            <v>DE601Risk of NonconformanceLabor</v>
          </cell>
          <cell r="E457">
            <v>2</v>
          </cell>
        </row>
        <row r="458">
          <cell r="D458" t="str">
            <v>DM101ConformanceLabor</v>
          </cell>
          <cell r="E458">
            <v>0.5</v>
          </cell>
        </row>
        <row r="459">
          <cell r="D459" t="str">
            <v>DM101PriorityLabor</v>
          </cell>
          <cell r="E459">
            <v>0</v>
          </cell>
        </row>
        <row r="460">
          <cell r="D460" t="str">
            <v>DM101MajorLabor</v>
          </cell>
          <cell r="E460">
            <v>0.1</v>
          </cell>
        </row>
        <row r="461">
          <cell r="D461" t="str">
            <v>DM101MinorLabor</v>
          </cell>
          <cell r="E461">
            <v>0.3</v>
          </cell>
        </row>
        <row r="462">
          <cell r="D462" t="str">
            <v>DM101N/ALabor</v>
          </cell>
          <cell r="E462">
            <v>0.5</v>
          </cell>
        </row>
        <row r="463">
          <cell r="D463" t="str">
            <v>DM101Risk of NonconformanceLabor</v>
          </cell>
          <cell r="E463">
            <v>0.5</v>
          </cell>
        </row>
        <row r="464">
          <cell r="D464" t="str">
            <v>DM102ConformanceLabor</v>
          </cell>
          <cell r="E464">
            <v>0.5</v>
          </cell>
        </row>
        <row r="465">
          <cell r="D465" t="str">
            <v>DM102PriorityLabor</v>
          </cell>
          <cell r="E465">
            <v>0</v>
          </cell>
        </row>
        <row r="466">
          <cell r="D466" t="str">
            <v>DM102MajorLabor</v>
          </cell>
          <cell r="E466">
            <v>0.1</v>
          </cell>
        </row>
        <row r="467">
          <cell r="D467" t="str">
            <v>DM102MinorLabor</v>
          </cell>
          <cell r="E467">
            <v>0.3</v>
          </cell>
        </row>
        <row r="468">
          <cell r="D468" t="str">
            <v>DM102N/ALabor</v>
          </cell>
          <cell r="E468">
            <v>0.5</v>
          </cell>
        </row>
        <row r="469">
          <cell r="D469" t="str">
            <v>DM102Risk of NonconformanceLabor</v>
          </cell>
          <cell r="E469">
            <v>0.5</v>
          </cell>
        </row>
        <row r="470">
          <cell r="D470" t="str">
            <v>DM201ConformanceLabor</v>
          </cell>
          <cell r="E470">
            <v>0.5</v>
          </cell>
        </row>
        <row r="471">
          <cell r="D471" t="str">
            <v>DM201PriorityLabor</v>
          </cell>
          <cell r="E471">
            <v>0</v>
          </cell>
        </row>
        <row r="472">
          <cell r="D472" t="str">
            <v>DM201MajorLabor</v>
          </cell>
          <cell r="E472">
            <v>0.1</v>
          </cell>
        </row>
        <row r="473">
          <cell r="D473" t="str">
            <v>DM201MinorLabor</v>
          </cell>
          <cell r="E473">
            <v>0.3</v>
          </cell>
        </row>
        <row r="474">
          <cell r="D474" t="str">
            <v>DM201N/ALabor</v>
          </cell>
          <cell r="E474">
            <v>0.5</v>
          </cell>
        </row>
        <row r="475">
          <cell r="D475" t="str">
            <v>DM201Risk of NonconformanceLabor</v>
          </cell>
          <cell r="E475">
            <v>0.5</v>
          </cell>
        </row>
        <row r="476">
          <cell r="D476" t="str">
            <v>DM202ConformanceLabor</v>
          </cell>
          <cell r="E476">
            <v>0.5</v>
          </cell>
        </row>
        <row r="477">
          <cell r="D477" t="str">
            <v>DM202PriorityLabor</v>
          </cell>
          <cell r="E477">
            <v>0</v>
          </cell>
        </row>
        <row r="478">
          <cell r="D478" t="str">
            <v>DM202MajorLabor</v>
          </cell>
          <cell r="E478">
            <v>0.1</v>
          </cell>
        </row>
        <row r="479">
          <cell r="D479" t="str">
            <v>DM202MinorLabor</v>
          </cell>
          <cell r="E479">
            <v>0.3</v>
          </cell>
        </row>
        <row r="480">
          <cell r="D480" t="str">
            <v>DM202N/ALabor</v>
          </cell>
          <cell r="E480">
            <v>0.5</v>
          </cell>
        </row>
        <row r="481">
          <cell r="D481" t="str">
            <v>DM202Risk of NonconformanceLabor</v>
          </cell>
          <cell r="E481">
            <v>0.5</v>
          </cell>
        </row>
        <row r="482">
          <cell r="D482" t="str">
            <v>DM203ConformanceLabor</v>
          </cell>
          <cell r="E482">
            <v>0.5</v>
          </cell>
        </row>
        <row r="483">
          <cell r="D483" t="str">
            <v>DM203PriorityLabor</v>
          </cell>
          <cell r="E483">
            <v>0</v>
          </cell>
        </row>
        <row r="484">
          <cell r="D484" t="str">
            <v>DM203MajorLabor</v>
          </cell>
          <cell r="E484">
            <v>0.1</v>
          </cell>
        </row>
        <row r="485">
          <cell r="D485" t="str">
            <v>DM203MinorLabor</v>
          </cell>
          <cell r="E485">
            <v>0.3</v>
          </cell>
        </row>
        <row r="486">
          <cell r="D486" t="str">
            <v>DM203N/ALabor</v>
          </cell>
          <cell r="E486">
            <v>0.5</v>
          </cell>
        </row>
        <row r="487">
          <cell r="D487" t="str">
            <v>DM203Risk of NonconformanceLabor</v>
          </cell>
          <cell r="E487">
            <v>0.5</v>
          </cell>
        </row>
        <row r="488">
          <cell r="D488" t="str">
            <v>DM301ConformanceLabor</v>
          </cell>
          <cell r="E488">
            <v>0.5</v>
          </cell>
        </row>
        <row r="489">
          <cell r="D489" t="str">
            <v>DM301PriorityLabor</v>
          </cell>
          <cell r="E489">
            <v>0</v>
          </cell>
        </row>
        <row r="490">
          <cell r="D490" t="str">
            <v>DM301MajorLabor</v>
          </cell>
          <cell r="E490">
            <v>0.1</v>
          </cell>
        </row>
        <row r="491">
          <cell r="D491" t="str">
            <v>DM301MinorLabor</v>
          </cell>
          <cell r="E491">
            <v>0.3</v>
          </cell>
        </row>
        <row r="492">
          <cell r="D492" t="str">
            <v>DM301N/ALabor</v>
          </cell>
          <cell r="E492">
            <v>0.5</v>
          </cell>
        </row>
        <row r="493">
          <cell r="D493" t="str">
            <v>DM301Risk of NonconformanceLabor</v>
          </cell>
          <cell r="E493">
            <v>0.5</v>
          </cell>
        </row>
        <row r="494">
          <cell r="D494" t="str">
            <v>DM302ConformanceLabor</v>
          </cell>
          <cell r="E494">
            <v>0.5</v>
          </cell>
        </row>
        <row r="495">
          <cell r="D495" t="str">
            <v>DM302PriorityLabor</v>
          </cell>
          <cell r="E495">
            <v>0</v>
          </cell>
        </row>
        <row r="496">
          <cell r="D496" t="str">
            <v>DM302MajorLabor</v>
          </cell>
          <cell r="E496">
            <v>0.1</v>
          </cell>
        </row>
        <row r="497">
          <cell r="D497" t="str">
            <v>DM302MinorLabor</v>
          </cell>
          <cell r="E497">
            <v>0.3</v>
          </cell>
        </row>
        <row r="498">
          <cell r="D498" t="str">
            <v>DM302N/ALabor</v>
          </cell>
          <cell r="E498">
            <v>0.5</v>
          </cell>
        </row>
        <row r="499">
          <cell r="D499" t="str">
            <v>DM302Risk of NonconformanceLabor</v>
          </cell>
          <cell r="E499">
            <v>0.5</v>
          </cell>
        </row>
        <row r="500">
          <cell r="D500" t="str">
            <v>DM401ConformanceLabor</v>
          </cell>
          <cell r="E500">
            <v>0.5</v>
          </cell>
        </row>
        <row r="501">
          <cell r="D501" t="str">
            <v>DM401PriorityLabor</v>
          </cell>
          <cell r="E501">
            <v>0</v>
          </cell>
        </row>
        <row r="502">
          <cell r="D502" t="str">
            <v>DM401MajorLabor</v>
          </cell>
          <cell r="E502">
            <v>0.1</v>
          </cell>
        </row>
        <row r="503">
          <cell r="D503" t="str">
            <v>DM401MinorLabor</v>
          </cell>
          <cell r="E503">
            <v>0.3</v>
          </cell>
        </row>
        <row r="504">
          <cell r="D504" t="str">
            <v>DM401N/ALabor</v>
          </cell>
          <cell r="E504">
            <v>0.5</v>
          </cell>
        </row>
        <row r="505">
          <cell r="D505" t="str">
            <v>DM401Risk of NonconformanceLabor</v>
          </cell>
          <cell r="E505">
            <v>0.5</v>
          </cell>
        </row>
        <row r="506">
          <cell r="D506" t="str">
            <v>DM402ConformanceLabor</v>
          </cell>
          <cell r="E506">
            <v>0.5</v>
          </cell>
        </row>
        <row r="507">
          <cell r="D507" t="str">
            <v>DM402PriorityLabor</v>
          </cell>
          <cell r="E507">
            <v>0</v>
          </cell>
        </row>
        <row r="508">
          <cell r="D508" t="str">
            <v>DM402MajorLabor</v>
          </cell>
          <cell r="E508">
            <v>0.1</v>
          </cell>
        </row>
        <row r="509">
          <cell r="D509" t="str">
            <v>DM402MinorLabor</v>
          </cell>
          <cell r="E509">
            <v>0.3</v>
          </cell>
        </row>
        <row r="510">
          <cell r="D510" t="str">
            <v>DM402N/ALabor</v>
          </cell>
          <cell r="E510">
            <v>0.5</v>
          </cell>
        </row>
        <row r="511">
          <cell r="D511" t="str">
            <v>DM402Risk of NonconformanceLabor</v>
          </cell>
          <cell r="E511">
            <v>0.5</v>
          </cell>
        </row>
        <row r="512">
          <cell r="D512" t="str">
            <v>DM403ConformanceLabor</v>
          </cell>
          <cell r="E512">
            <v>0.5</v>
          </cell>
        </row>
        <row r="513">
          <cell r="D513" t="str">
            <v>DM403PriorityLabor</v>
          </cell>
          <cell r="E513">
            <v>0</v>
          </cell>
        </row>
        <row r="514">
          <cell r="D514" t="str">
            <v>DM403MajorLabor</v>
          </cell>
          <cell r="E514">
            <v>0.1</v>
          </cell>
        </row>
        <row r="515">
          <cell r="D515" t="str">
            <v>DM403MinorLabor</v>
          </cell>
          <cell r="E515">
            <v>0.3</v>
          </cell>
        </row>
        <row r="516">
          <cell r="D516" t="str">
            <v>DM403N/ALabor</v>
          </cell>
          <cell r="E516">
            <v>0.5</v>
          </cell>
        </row>
        <row r="517">
          <cell r="D517" t="str">
            <v>DM403Risk of NonconformanceLabor</v>
          </cell>
          <cell r="E517">
            <v>0.5</v>
          </cell>
        </row>
        <row r="518">
          <cell r="D518" t="str">
            <v>ES101ConformanceLabor</v>
          </cell>
          <cell r="E518">
            <v>1</v>
          </cell>
        </row>
        <row r="519">
          <cell r="D519" t="str">
            <v>ES101PriorityLabor</v>
          </cell>
          <cell r="E519">
            <v>0</v>
          </cell>
        </row>
        <row r="520">
          <cell r="D520" t="str">
            <v>ES101MajorLabor</v>
          </cell>
          <cell r="E520">
            <v>0.2</v>
          </cell>
        </row>
        <row r="521">
          <cell r="D521" t="str">
            <v>ES101MinorLabor</v>
          </cell>
          <cell r="E521">
            <v>0.5</v>
          </cell>
        </row>
        <row r="522">
          <cell r="D522" t="str">
            <v>ES101N/ALabor</v>
          </cell>
          <cell r="E522">
            <v>1</v>
          </cell>
        </row>
        <row r="523">
          <cell r="D523" t="str">
            <v>ES101Risk of NonconformanceLabor</v>
          </cell>
          <cell r="E523">
            <v>1</v>
          </cell>
        </row>
        <row r="524">
          <cell r="D524" t="str">
            <v>ES201ConformanceLabor</v>
          </cell>
          <cell r="E524">
            <v>1</v>
          </cell>
        </row>
        <row r="525">
          <cell r="D525" t="str">
            <v>ES201PriorityLabor</v>
          </cell>
          <cell r="E525">
            <v>0</v>
          </cell>
        </row>
        <row r="526">
          <cell r="D526" t="str">
            <v>ES201MajorLabor</v>
          </cell>
          <cell r="E526">
            <v>0.2</v>
          </cell>
        </row>
        <row r="527">
          <cell r="D527" t="str">
            <v>ES201MinorLabor</v>
          </cell>
          <cell r="E527">
            <v>0.5</v>
          </cell>
        </row>
        <row r="528">
          <cell r="D528" t="str">
            <v>ES201N/ALabor</v>
          </cell>
          <cell r="E528">
            <v>1</v>
          </cell>
        </row>
        <row r="529">
          <cell r="D529" t="str">
            <v>ES201Risk of NonconformanceLabor</v>
          </cell>
          <cell r="E529">
            <v>1</v>
          </cell>
        </row>
        <row r="530">
          <cell r="D530" t="str">
            <v>ES301ConformanceLabor</v>
          </cell>
          <cell r="E530">
            <v>1</v>
          </cell>
        </row>
        <row r="531">
          <cell r="D531" t="str">
            <v>ES301PriorityLabor</v>
          </cell>
          <cell r="E531">
            <v>0</v>
          </cell>
        </row>
        <row r="532">
          <cell r="D532" t="str">
            <v>ES301MajorLabor</v>
          </cell>
          <cell r="E532">
            <v>0.2</v>
          </cell>
        </row>
        <row r="533">
          <cell r="D533" t="str">
            <v>ES301MinorLabor</v>
          </cell>
          <cell r="E533">
            <v>0.5</v>
          </cell>
        </row>
        <row r="534">
          <cell r="D534" t="str">
            <v>ES301N/ALabor</v>
          </cell>
          <cell r="E534">
            <v>1</v>
          </cell>
        </row>
        <row r="535">
          <cell r="D535" t="str">
            <v>ES301Risk of NonconformanceLabor</v>
          </cell>
          <cell r="E535">
            <v>1</v>
          </cell>
        </row>
        <row r="536">
          <cell r="D536" t="str">
            <v>ES401ConformanceLabor</v>
          </cell>
          <cell r="E536">
            <v>2</v>
          </cell>
        </row>
        <row r="537">
          <cell r="D537" t="str">
            <v>ES401PriorityLabor</v>
          </cell>
          <cell r="E537">
            <v>0</v>
          </cell>
        </row>
        <row r="538">
          <cell r="D538" t="str">
            <v>ES401MajorLabor</v>
          </cell>
          <cell r="E538">
            <v>0.5</v>
          </cell>
        </row>
        <row r="539">
          <cell r="D539" t="str">
            <v>ES401MinorLabor</v>
          </cell>
          <cell r="E539">
            <v>1</v>
          </cell>
        </row>
        <row r="540">
          <cell r="D540" t="str">
            <v>ES401N/ALabor</v>
          </cell>
          <cell r="E540">
            <v>2</v>
          </cell>
        </row>
        <row r="541">
          <cell r="D541" t="str">
            <v>ES401Risk of NonconformanceLabor</v>
          </cell>
          <cell r="E541">
            <v>2</v>
          </cell>
        </row>
        <row r="542">
          <cell r="D542" t="str">
            <v>ES402ConformanceLabor</v>
          </cell>
          <cell r="E542">
            <v>1</v>
          </cell>
        </row>
        <row r="543">
          <cell r="D543" t="str">
            <v>ES402PriorityLabor</v>
          </cell>
          <cell r="E543">
            <v>0</v>
          </cell>
        </row>
        <row r="544">
          <cell r="D544" t="str">
            <v>ES402MajorLabor</v>
          </cell>
          <cell r="E544">
            <v>0.2</v>
          </cell>
        </row>
        <row r="545">
          <cell r="D545" t="str">
            <v>ES402MinorLabor</v>
          </cell>
          <cell r="E545">
            <v>0.5</v>
          </cell>
        </row>
        <row r="546">
          <cell r="D546" t="str">
            <v>ES402N/ALabor</v>
          </cell>
          <cell r="E546">
            <v>1</v>
          </cell>
        </row>
        <row r="547">
          <cell r="D547" t="str">
            <v>ES402Risk of NonconformanceLabor</v>
          </cell>
          <cell r="E547">
            <v>1</v>
          </cell>
        </row>
        <row r="548">
          <cell r="D548" t="str">
            <v>ES403ConformanceLabor</v>
          </cell>
          <cell r="E548">
            <v>2</v>
          </cell>
        </row>
        <row r="549">
          <cell r="D549" t="str">
            <v>ES403PriorityLabor</v>
          </cell>
          <cell r="E549">
            <v>0</v>
          </cell>
        </row>
        <row r="550">
          <cell r="D550" t="str">
            <v>ES403MajorLabor</v>
          </cell>
          <cell r="E550">
            <v>0.5</v>
          </cell>
        </row>
        <row r="551">
          <cell r="D551" t="str">
            <v>ES403MinorLabor</v>
          </cell>
          <cell r="E551">
            <v>1</v>
          </cell>
        </row>
        <row r="552">
          <cell r="D552" t="str">
            <v>ES403N/ALabor</v>
          </cell>
          <cell r="E552">
            <v>2</v>
          </cell>
        </row>
        <row r="553">
          <cell r="D553" t="str">
            <v>ES403Risk of NonconformanceLabor</v>
          </cell>
          <cell r="E553">
            <v>2</v>
          </cell>
        </row>
        <row r="554">
          <cell r="D554" t="str">
            <v>ES404ConformanceLabor</v>
          </cell>
          <cell r="E554">
            <v>2</v>
          </cell>
        </row>
        <row r="555">
          <cell r="D555" t="str">
            <v>ES404PriorityLabor</v>
          </cell>
          <cell r="E555">
            <v>0</v>
          </cell>
        </row>
        <row r="556">
          <cell r="D556" t="str">
            <v>ES404MajorLabor</v>
          </cell>
          <cell r="E556">
            <v>0.5</v>
          </cell>
        </row>
        <row r="557">
          <cell r="D557" t="str">
            <v>ES404MinorLabor</v>
          </cell>
          <cell r="E557">
            <v>1</v>
          </cell>
        </row>
        <row r="558">
          <cell r="D558" t="str">
            <v>ES404N/ALabor</v>
          </cell>
          <cell r="E558">
            <v>2</v>
          </cell>
        </row>
        <row r="559">
          <cell r="D559" t="str">
            <v>ES404Risk of NonconformanceLabor</v>
          </cell>
          <cell r="E559">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ero8888@new1tech.com" TargetMode="External"/><Relationship Id="rId1" Type="http://schemas.openxmlformats.org/officeDocument/2006/relationships/hyperlink" Target="mailto:hue@yb-cm.com"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view="pageBreakPreview" topLeftCell="A4" zoomScale="70" zoomScaleNormal="50" workbookViewId="0">
      <selection activeCell="L11" sqref="L11"/>
    </sheetView>
  </sheetViews>
  <sheetFormatPr defaultColWidth="9" defaultRowHeight="14.4"/>
  <cols>
    <col min="1" max="1" width="22.5546875" customWidth="1"/>
    <col min="2" max="2" width="19.6640625" customWidth="1"/>
    <col min="3" max="5" width="19.109375" customWidth="1"/>
    <col min="6" max="6" width="48.88671875" customWidth="1"/>
    <col min="7" max="7" width="22.5546875" customWidth="1"/>
    <col min="8" max="8" width="20.5546875" customWidth="1"/>
    <col min="12" max="12" width="27.88671875" customWidth="1"/>
  </cols>
  <sheetData>
    <row r="1" spans="1:12" ht="103.2" customHeight="1">
      <c r="A1" s="168" t="s">
        <v>0</v>
      </c>
      <c r="B1" s="168"/>
      <c r="C1" s="168"/>
      <c r="D1" s="168"/>
      <c r="E1" s="168"/>
      <c r="F1" s="168"/>
      <c r="G1" s="168"/>
      <c r="H1" s="168"/>
    </row>
    <row r="2" spans="1:12" ht="74.400000000000006" customHeight="1">
      <c r="A2" s="127" t="s">
        <v>1</v>
      </c>
      <c r="B2" s="150" t="s">
        <v>2</v>
      </c>
      <c r="C2" s="150"/>
      <c r="D2" s="150"/>
      <c r="E2" s="150"/>
      <c r="F2" s="128" t="s">
        <v>3</v>
      </c>
      <c r="G2" s="169">
        <v>1</v>
      </c>
      <c r="H2" s="169"/>
      <c r="L2" s="129"/>
    </row>
    <row r="3" spans="1:12" ht="45" customHeight="1">
      <c r="A3" s="150" t="s">
        <v>4</v>
      </c>
      <c r="B3" s="130" t="s">
        <v>5</v>
      </c>
      <c r="C3" s="164" t="s">
        <v>6</v>
      </c>
      <c r="D3" s="164"/>
      <c r="E3" s="164"/>
      <c r="F3" s="131" t="s">
        <v>7</v>
      </c>
      <c r="G3" s="132">
        <v>7544404</v>
      </c>
      <c r="H3" s="146" t="s">
        <v>8</v>
      </c>
      <c r="L3" s="129"/>
    </row>
    <row r="4" spans="1:12" ht="45" customHeight="1">
      <c r="A4" s="150"/>
      <c r="B4" s="130" t="s">
        <v>9</v>
      </c>
      <c r="C4" s="170" t="s">
        <v>10</v>
      </c>
      <c r="D4" s="166"/>
      <c r="E4" s="166"/>
      <c r="F4" s="153" t="s">
        <v>11</v>
      </c>
      <c r="G4" s="133" t="s">
        <v>12</v>
      </c>
      <c r="H4" s="134">
        <v>457</v>
      </c>
      <c r="L4" s="129"/>
    </row>
    <row r="5" spans="1:12" ht="45" customHeight="1">
      <c r="A5" s="150"/>
      <c r="B5" s="130" t="s">
        <v>13</v>
      </c>
      <c r="C5" s="163" t="s">
        <v>14</v>
      </c>
      <c r="D5" s="164"/>
      <c r="E5" s="164"/>
      <c r="F5" s="153"/>
      <c r="G5" s="133" t="s">
        <v>15</v>
      </c>
      <c r="H5" s="135">
        <v>245</v>
      </c>
    </row>
    <row r="6" spans="1:12" ht="45" customHeight="1">
      <c r="A6" s="150" t="s">
        <v>16</v>
      </c>
      <c r="B6" s="130" t="s">
        <v>5</v>
      </c>
      <c r="C6" s="164" t="s">
        <v>17</v>
      </c>
      <c r="D6" s="164"/>
      <c r="E6" s="164"/>
      <c r="F6" s="153" t="s">
        <v>18</v>
      </c>
      <c r="G6" s="133" t="s">
        <v>19</v>
      </c>
      <c r="H6" s="135">
        <f>H5+H4</f>
        <v>702</v>
      </c>
    </row>
    <row r="7" spans="1:12" ht="45" customHeight="1">
      <c r="A7" s="150"/>
      <c r="B7" s="130" t="s">
        <v>20</v>
      </c>
      <c r="C7" s="165" t="s">
        <v>21</v>
      </c>
      <c r="D7" s="166"/>
      <c r="E7" s="166"/>
      <c r="F7" s="153"/>
      <c r="G7" s="133" t="s">
        <v>22</v>
      </c>
      <c r="H7" s="135">
        <v>0</v>
      </c>
    </row>
    <row r="8" spans="1:12" ht="45" customHeight="1">
      <c r="A8" s="150"/>
      <c r="B8" s="130" t="s">
        <v>13</v>
      </c>
      <c r="C8" s="163" t="s">
        <v>23</v>
      </c>
      <c r="D8" s="164"/>
      <c r="E8" s="164"/>
      <c r="F8" s="133" t="s">
        <v>24</v>
      </c>
      <c r="G8" s="167" t="s">
        <v>25</v>
      </c>
      <c r="H8" s="167"/>
    </row>
    <row r="9" spans="1:12" ht="45" customHeight="1">
      <c r="A9" s="136" t="s">
        <v>26</v>
      </c>
      <c r="B9" s="154" t="s">
        <v>27</v>
      </c>
      <c r="C9" s="154"/>
      <c r="D9" s="154"/>
      <c r="E9" s="154"/>
      <c r="F9" s="133" t="s">
        <v>28</v>
      </c>
      <c r="G9" s="155" t="s">
        <v>29</v>
      </c>
      <c r="H9" s="155"/>
    </row>
    <row r="10" spans="1:12" ht="35.25" customHeight="1">
      <c r="A10" s="151" t="s">
        <v>30</v>
      </c>
      <c r="B10" s="156" t="s">
        <v>31</v>
      </c>
      <c r="C10" s="157"/>
      <c r="D10" s="157"/>
      <c r="E10" s="158"/>
      <c r="F10" s="137" t="s">
        <v>32</v>
      </c>
      <c r="G10" s="159" t="s">
        <v>33</v>
      </c>
      <c r="H10" s="159"/>
    </row>
    <row r="11" spans="1:12" ht="35.25" customHeight="1">
      <c r="A11" s="152"/>
      <c r="B11" s="160">
        <f>Checklist!J1</f>
        <v>0.92307692307692313</v>
      </c>
      <c r="C11" s="160"/>
      <c r="D11" s="160"/>
      <c r="E11" s="161"/>
      <c r="F11" s="138">
        <v>0.88</v>
      </c>
      <c r="G11" s="162" t="str">
        <f>Checklist!D1</f>
        <v>11.03.2026</v>
      </c>
      <c r="H11" s="162"/>
    </row>
    <row r="12" spans="1:12" ht="40.950000000000003" customHeight="1">
      <c r="A12" s="149" t="s">
        <v>34</v>
      </c>
      <c r="B12" s="149"/>
      <c r="C12" s="149"/>
      <c r="D12" s="149"/>
      <c r="E12" s="149"/>
      <c r="F12" s="149" t="s">
        <v>35</v>
      </c>
      <c r="G12" s="149"/>
      <c r="H12" s="149"/>
    </row>
    <row r="13" spans="1:12" ht="40.950000000000003" customHeight="1">
      <c r="A13" s="139"/>
      <c r="B13" s="140"/>
      <c r="C13" s="140"/>
      <c r="D13" s="140"/>
      <c r="E13" s="140"/>
      <c r="F13" s="141"/>
      <c r="G13" s="142"/>
      <c r="H13" s="142"/>
    </row>
    <row r="14" spans="1:12" ht="31.2" customHeight="1">
      <c r="A14" s="139"/>
      <c r="B14" s="139"/>
      <c r="C14" s="139"/>
      <c r="D14" s="139"/>
      <c r="E14" s="139"/>
      <c r="F14" s="141"/>
      <c r="G14" s="141"/>
      <c r="H14" s="141"/>
    </row>
    <row r="15" spans="1:12" ht="24.6">
      <c r="A15" s="143"/>
      <c r="B15" s="144" t="s">
        <v>36</v>
      </c>
      <c r="C15" s="145" t="str">
        <f>'General Information'!D6</f>
        <v>LÊ THỊ THÚY HỒNG</v>
      </c>
      <c r="D15" s="143"/>
      <c r="E15" s="143"/>
      <c r="F15" s="149" t="s">
        <v>37</v>
      </c>
      <c r="G15" s="149"/>
      <c r="H15" s="149"/>
    </row>
  </sheetData>
  <mergeCells count="24">
    <mergeCell ref="C7:E7"/>
    <mergeCell ref="C8:E8"/>
    <mergeCell ref="G8:H8"/>
    <mergeCell ref="A1:H1"/>
    <mergeCell ref="B2:E2"/>
    <mergeCell ref="G2:H2"/>
    <mergeCell ref="C3:E3"/>
    <mergeCell ref="C4:E4"/>
    <mergeCell ref="A12:E12"/>
    <mergeCell ref="F12:H12"/>
    <mergeCell ref="F15:H15"/>
    <mergeCell ref="A3:A5"/>
    <mergeCell ref="A6:A8"/>
    <mergeCell ref="A10:A11"/>
    <mergeCell ref="F4:F5"/>
    <mergeCell ref="F6:F7"/>
    <mergeCell ref="B9:E9"/>
    <mergeCell ref="G9:H9"/>
    <mergeCell ref="B10:E10"/>
    <mergeCell ref="G10:H10"/>
    <mergeCell ref="B11:E11"/>
    <mergeCell ref="G11:H11"/>
    <mergeCell ref="C5:E5"/>
    <mergeCell ref="C6:E6"/>
  </mergeCells>
  <hyperlinks>
    <hyperlink ref="C7" r:id="rId1" xr:uid="{00000000-0004-0000-0000-000000000000}"/>
    <hyperlink ref="C4" r:id="rId2" xr:uid="{00000000-0004-0000-0000-000001000000}"/>
  </hyperlinks>
  <printOptions horizontalCentered="1"/>
  <pageMargins left="0.5" right="0.5" top="0.5" bottom="0.5" header="0" footer="0"/>
  <pageSetup paperSize="9" scale="7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rgb="FFFFFF00"/>
  </sheetPr>
  <dimension ref="B2:D31"/>
  <sheetViews>
    <sheetView showGridLines="0" zoomScale="85" zoomScaleNormal="85" workbookViewId="0">
      <selection activeCell="D31" sqref="D31"/>
    </sheetView>
  </sheetViews>
  <sheetFormatPr defaultColWidth="9" defaultRowHeight="14.4"/>
  <cols>
    <col min="1" max="1" width="8.88671875" customWidth="1"/>
    <col min="2" max="2" width="27.33203125" customWidth="1"/>
    <col min="3" max="3" width="56.33203125" customWidth="1"/>
    <col min="4" max="4" width="60.33203125" customWidth="1"/>
  </cols>
  <sheetData>
    <row r="2" spans="2:4" s="114" customFormat="1" ht="27" customHeight="1">
      <c r="B2" s="175" t="s">
        <v>38</v>
      </c>
      <c r="C2" s="176"/>
      <c r="D2" s="115"/>
    </row>
    <row r="3" spans="2:4">
      <c r="B3" s="171" t="s">
        <v>39</v>
      </c>
      <c r="C3" s="171"/>
      <c r="D3" s="117" t="s">
        <v>2</v>
      </c>
    </row>
    <row r="4" spans="2:4">
      <c r="B4" s="171" t="s">
        <v>40</v>
      </c>
      <c r="C4" s="171"/>
      <c r="D4" s="117" t="s">
        <v>27</v>
      </c>
    </row>
    <row r="5" spans="2:4">
      <c r="B5" s="171" t="s">
        <v>41</v>
      </c>
      <c r="C5" s="171"/>
      <c r="D5" s="117" t="s">
        <v>42</v>
      </c>
    </row>
    <row r="6" spans="2:4">
      <c r="B6" s="171" t="s">
        <v>43</v>
      </c>
      <c r="C6" s="171"/>
      <c r="D6" s="117" t="s">
        <v>44</v>
      </c>
    </row>
    <row r="7" spans="2:4">
      <c r="B7" s="171" t="s">
        <v>45</v>
      </c>
      <c r="C7" s="171"/>
      <c r="D7" s="117" t="s">
        <v>46</v>
      </c>
    </row>
    <row r="8" spans="2:4">
      <c r="B8" s="171" t="s">
        <v>47</v>
      </c>
      <c r="C8" s="171"/>
      <c r="D8" s="118" t="s">
        <v>48</v>
      </c>
    </row>
    <row r="9" spans="2:4">
      <c r="B9" s="171" t="s">
        <v>49</v>
      </c>
      <c r="C9" s="171"/>
      <c r="D9" s="119">
        <v>46092</v>
      </c>
    </row>
    <row r="10" spans="2:4">
      <c r="B10" s="171" t="s">
        <v>50</v>
      </c>
      <c r="C10" s="171"/>
      <c r="D10" s="119">
        <v>46092</v>
      </c>
    </row>
    <row r="11" spans="2:4">
      <c r="B11" s="171" t="s">
        <v>51</v>
      </c>
      <c r="C11" s="171"/>
      <c r="D11" s="119">
        <v>46276</v>
      </c>
    </row>
    <row r="12" spans="2:4">
      <c r="B12" s="171" t="s">
        <v>52</v>
      </c>
      <c r="C12" s="116" t="s">
        <v>53</v>
      </c>
      <c r="D12" s="117" t="s">
        <v>54</v>
      </c>
    </row>
    <row r="13" spans="2:4">
      <c r="B13" s="172"/>
      <c r="C13" s="120" t="s">
        <v>55</v>
      </c>
      <c r="D13" s="121" t="s">
        <v>29</v>
      </c>
    </row>
    <row r="14" spans="2:4">
      <c r="B14" s="173" t="s">
        <v>56</v>
      </c>
      <c r="C14" s="122" t="s">
        <v>57</v>
      </c>
      <c r="D14" s="123" t="s">
        <v>6</v>
      </c>
    </row>
    <row r="15" spans="2:4">
      <c r="B15" s="171"/>
      <c r="C15" s="116" t="s">
        <v>58</v>
      </c>
      <c r="D15" s="117" t="s">
        <v>4</v>
      </c>
    </row>
    <row r="16" spans="2:4">
      <c r="B16" s="171"/>
      <c r="C16" s="116" t="s">
        <v>59</v>
      </c>
      <c r="D16" s="147" t="s">
        <v>17</v>
      </c>
    </row>
    <row r="17" spans="2:4">
      <c r="B17" s="171"/>
      <c r="C17" s="116" t="s">
        <v>60</v>
      </c>
      <c r="D17" s="147" t="s">
        <v>16</v>
      </c>
    </row>
    <row r="18" spans="2:4">
      <c r="B18" s="174" t="s">
        <v>61</v>
      </c>
      <c r="C18" s="124" t="s">
        <v>62</v>
      </c>
      <c r="D18" s="125">
        <v>702</v>
      </c>
    </row>
    <row r="19" spans="2:4">
      <c r="B19" s="171"/>
      <c r="C19" s="116" t="s">
        <v>63</v>
      </c>
      <c r="D19" s="125">
        <v>702</v>
      </c>
    </row>
    <row r="20" spans="2:4">
      <c r="B20" s="171"/>
      <c r="C20" s="116" t="s">
        <v>64</v>
      </c>
      <c r="D20" s="117">
        <v>0</v>
      </c>
    </row>
    <row r="21" spans="2:4">
      <c r="B21" s="171"/>
      <c r="C21" s="116" t="s">
        <v>65</v>
      </c>
      <c r="D21" s="117" t="s">
        <v>66</v>
      </c>
    </row>
    <row r="22" spans="2:4">
      <c r="B22" s="171"/>
      <c r="C22" s="116" t="s">
        <v>67</v>
      </c>
      <c r="D22" s="117" t="s">
        <v>68</v>
      </c>
    </row>
    <row r="23" spans="2:4">
      <c r="B23" s="171"/>
      <c r="C23" s="116" t="s">
        <v>69</v>
      </c>
      <c r="D23" s="117" t="s">
        <v>68</v>
      </c>
    </row>
    <row r="24" spans="2:4">
      <c r="B24" s="171"/>
      <c r="C24" s="116" t="s">
        <v>70</v>
      </c>
      <c r="D24" s="117" t="s">
        <v>68</v>
      </c>
    </row>
    <row r="25" spans="2:4" ht="43.5" customHeight="1">
      <c r="B25" s="171"/>
      <c r="C25" s="126" t="s">
        <v>71</v>
      </c>
      <c r="D25" s="117">
        <v>0</v>
      </c>
    </row>
    <row r="26" spans="2:4">
      <c r="B26" s="171" t="s">
        <v>72</v>
      </c>
      <c r="C26" s="171"/>
      <c r="D26" s="117" t="s">
        <v>68</v>
      </c>
    </row>
    <row r="27" spans="2:4">
      <c r="B27" s="171" t="s">
        <v>73</v>
      </c>
      <c r="C27" s="171"/>
      <c r="D27" s="117" t="s">
        <v>68</v>
      </c>
    </row>
    <row r="28" spans="2:4">
      <c r="B28" s="171" t="s">
        <v>74</v>
      </c>
      <c r="C28" s="171"/>
      <c r="D28" s="117" t="s">
        <v>75</v>
      </c>
    </row>
    <row r="29" spans="2:4">
      <c r="B29" s="171" t="s">
        <v>76</v>
      </c>
      <c r="C29" s="171"/>
      <c r="D29" s="117" t="s">
        <v>68</v>
      </c>
    </row>
    <row r="30" spans="2:4">
      <c r="B30" s="171" t="s">
        <v>77</v>
      </c>
      <c r="C30" s="171"/>
      <c r="D30" s="117"/>
    </row>
    <row r="31" spans="2:4">
      <c r="B31" s="171" t="s">
        <v>78</v>
      </c>
      <c r="C31" s="171"/>
      <c r="D31" s="117">
        <v>9</v>
      </c>
    </row>
  </sheetData>
  <mergeCells count="19">
    <mergeCell ref="B2:C2"/>
    <mergeCell ref="B3:C3"/>
    <mergeCell ref="B4:C4"/>
    <mergeCell ref="B5:C5"/>
    <mergeCell ref="B6:C6"/>
    <mergeCell ref="B7:C7"/>
    <mergeCell ref="B8:C8"/>
    <mergeCell ref="B9:C9"/>
    <mergeCell ref="B10:C10"/>
    <mergeCell ref="B11:C11"/>
    <mergeCell ref="B31:C31"/>
    <mergeCell ref="B12:B13"/>
    <mergeCell ref="B14:B17"/>
    <mergeCell ref="B18:B25"/>
    <mergeCell ref="B26:C26"/>
    <mergeCell ref="B27:C27"/>
    <mergeCell ref="B28:C28"/>
    <mergeCell ref="B29:C29"/>
    <mergeCell ref="B30:C30"/>
  </mergeCells>
  <dataValidations count="3">
    <dataValidation type="list" allowBlank="1" showInputMessage="1" showErrorMessage="1" sqref="D8" xr:uid="{00000000-0002-0000-0100-000000000000}">
      <formula1>"Initial,Corrective Action Verification"</formula1>
    </dataValidation>
    <dataValidation type="list" allowBlank="1" showInputMessage="1" showErrorMessage="1" sqref="D29 D21:D24 D26:D27" xr:uid="{00000000-0002-0000-0100-000001000000}">
      <formula1>"Yes,No"</formula1>
    </dataValidation>
    <dataValidation type="date" allowBlank="1" showInputMessage="1" showErrorMessage="1" sqref="D9:D11" xr:uid="{00000000-0002-0000-0100-000002000000}">
      <formula1>44562</formula1>
      <formula2>47848</formula2>
    </dataValidation>
  </dataValidations>
  <pageMargins left="0.39370078740157499" right="0.15748031496063" top="0.27559055118110198" bottom="0.27559055118110198" header="0.15748031496063" footer="0.15748031496063"/>
  <pageSetup paperSize="9" scale="88"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S57"/>
  <sheetViews>
    <sheetView showGridLines="0" tabSelected="1" zoomScale="85" zoomScaleNormal="85" zoomScaleSheetLayoutView="85" workbookViewId="0">
      <pane xSplit="11" ySplit="5" topLeftCell="L6" activePane="bottomRight" state="frozen"/>
      <selection pane="topRight"/>
      <selection pane="bottomLeft"/>
      <selection pane="bottomRight" activeCell="L6" sqref="L6"/>
    </sheetView>
  </sheetViews>
  <sheetFormatPr defaultColWidth="7.88671875" defaultRowHeight="14.4"/>
  <cols>
    <col min="1" max="1" width="13.5546875" style="55" customWidth="1"/>
    <col min="2" max="2" width="13.88671875" style="56" customWidth="1"/>
    <col min="3" max="3" width="13" style="56" customWidth="1"/>
    <col min="4" max="4" width="15.5546875" style="56" customWidth="1"/>
    <col min="5" max="8" width="11.44140625" style="56" hidden="1" customWidth="1"/>
    <col min="9" max="9" width="16.5546875" style="56" customWidth="1"/>
    <col min="10" max="10" width="12.88671875" style="57" customWidth="1"/>
    <col min="11" max="11" width="13.109375" style="58" customWidth="1"/>
    <col min="12" max="12" width="94.44140625" style="58" customWidth="1"/>
    <col min="13" max="13" width="136.88671875" style="58" customWidth="1"/>
    <col min="14" max="17" width="8.6640625" style="58" customWidth="1"/>
    <col min="18" max="18" width="12.44140625" style="59" customWidth="1"/>
    <col min="19" max="19" width="10" style="59" customWidth="1"/>
    <col min="20" max="16384" width="7.88671875" style="59"/>
  </cols>
  <sheetData>
    <row r="1" spans="1:19" ht="30.75" customHeight="1">
      <c r="A1" s="60" t="s">
        <v>79</v>
      </c>
      <c r="B1" s="61" t="s">
        <v>80</v>
      </c>
      <c r="C1" s="62" t="s">
        <v>81</v>
      </c>
      <c r="D1" s="63" t="s">
        <v>82</v>
      </c>
      <c r="E1" s="64"/>
      <c r="F1" s="64"/>
      <c r="G1" s="65"/>
      <c r="H1" s="65"/>
      <c r="I1" s="66" t="s">
        <v>83</v>
      </c>
      <c r="J1" s="67">
        <f>(COUNTIF(D6:D57,"Conformance")+COUNTIF(D6:D57,"N/A"))/52</f>
        <v>0.92307692307692313</v>
      </c>
    </row>
    <row r="2" spans="1:19" ht="18.75" customHeight="1">
      <c r="A2" s="68" t="s">
        <v>84</v>
      </c>
      <c r="B2" s="69" t="s">
        <v>85</v>
      </c>
      <c r="C2" s="70" t="s">
        <v>86</v>
      </c>
      <c r="D2" s="71">
        <f>SUMIFS($S$6:$S$57,$R$6:$R$57,"Labor")</f>
        <v>93.1</v>
      </c>
      <c r="E2" s="72"/>
      <c r="F2" s="72"/>
      <c r="G2" s="73"/>
      <c r="H2" s="73"/>
      <c r="I2" s="74" t="s">
        <v>87</v>
      </c>
      <c r="J2" s="75">
        <f>COUNTIF(D6:D57,"Priority")</f>
        <v>0</v>
      </c>
    </row>
    <row r="3" spans="1:19" ht="18.75" customHeight="1">
      <c r="A3" s="76" t="s">
        <v>88</v>
      </c>
      <c r="B3" s="77">
        <f>IF((200*((COUNTIFS($D$6:$D$57,"Conformance")+COUNTIFS($D$6:$D$57,"N/A"))/52))-(COUNTIFS($D$6:$D$57,"Priority")*20)-(COUNTIFS($D$6:$D$57,"Major")*4)-(COUNTIFS($D$6:$D$57,"Minor")*1)&lt;0,0,(200*((COUNTIFS($D$6:$D$57,"Conformance")+COUNTIFS($D$6:$D$57,"N/A"))/52))-(COUNTIFS($D$6:$D$57,"Priority")*20)-(COUNTIFS($D$6:$D$57,"Major")*4)-(COUNTIFS($D$6:$D$57,"Minor")*1))</f>
        <v>171.61538461538461</v>
      </c>
      <c r="C3" s="78" t="s">
        <v>89</v>
      </c>
      <c r="D3" s="71">
        <f>SUMIFS($S$6:$S$57,$R$6:$R$57,"EHS")</f>
        <v>0</v>
      </c>
      <c r="E3" s="79"/>
      <c r="F3" s="79"/>
      <c r="G3" s="80"/>
      <c r="H3" s="80"/>
      <c r="I3" s="74" t="s">
        <v>90</v>
      </c>
      <c r="J3" s="75">
        <f>COUNTIF(H6:H57,"X")</f>
        <v>0</v>
      </c>
    </row>
    <row r="4" spans="1:19" ht="17.399999999999999">
      <c r="A4" s="81"/>
      <c r="C4" s="82">
        <f>COUNTIFS(C6:C57,"O")</f>
        <v>52</v>
      </c>
      <c r="D4" s="83"/>
      <c r="E4" s="83"/>
      <c r="F4" s="83"/>
      <c r="G4" s="83"/>
      <c r="H4" s="84"/>
      <c r="I4" s="85"/>
    </row>
    <row r="5" spans="1:19" s="51" customFormat="1" ht="44.25" customHeight="1">
      <c r="A5" s="86" t="s">
        <v>91</v>
      </c>
      <c r="B5" s="86" t="s">
        <v>92</v>
      </c>
      <c r="C5" s="87" t="s">
        <v>93</v>
      </c>
      <c r="D5" s="61" t="s">
        <v>94</v>
      </c>
      <c r="E5" s="87" t="s">
        <v>95</v>
      </c>
      <c r="F5" s="87" t="s">
        <v>96</v>
      </c>
      <c r="G5" s="87" t="s">
        <v>97</v>
      </c>
      <c r="H5" s="87" t="s">
        <v>98</v>
      </c>
      <c r="I5" s="87" t="s">
        <v>96</v>
      </c>
      <c r="J5" s="87" t="s">
        <v>99</v>
      </c>
      <c r="K5" s="86" t="s">
        <v>100</v>
      </c>
      <c r="L5" s="86" t="s">
        <v>101</v>
      </c>
      <c r="M5" s="87" t="s">
        <v>102</v>
      </c>
      <c r="N5" s="88" t="s">
        <v>103</v>
      </c>
      <c r="O5" s="88" t="s">
        <v>104</v>
      </c>
      <c r="P5" s="88" t="s">
        <v>105</v>
      </c>
      <c r="Q5" s="88" t="s">
        <v>106</v>
      </c>
      <c r="R5" s="87" t="s">
        <v>107</v>
      </c>
      <c r="S5" s="87" t="s">
        <v>108</v>
      </c>
    </row>
    <row r="6" spans="1:19" s="52" customFormat="1" ht="125.4" customHeight="1">
      <c r="A6" s="89" t="s">
        <v>109</v>
      </c>
      <c r="B6" s="90" t="s">
        <v>110</v>
      </c>
      <c r="C6" s="91" t="s">
        <v>111</v>
      </c>
      <c r="D6" s="92" t="s">
        <v>112</v>
      </c>
      <c r="E6" s="93" t="str">
        <f t="shared" ref="E6:E57" si="0">IF(AND(D6&lt;&gt;"Conformance",D6&lt;&gt;"N/A"),"X","")</f>
        <v>X</v>
      </c>
      <c r="F6" s="94" t="s">
        <v>113</v>
      </c>
      <c r="G6" s="91" t="s">
        <v>114</v>
      </c>
      <c r="H6" s="90" t="str">
        <f t="shared" ref="H6:H57" si="1">IF(AND(F6="X",G6=D6),"X",IF(AND(F6="X",G6="Major",D6="Priority"),"X",""))</f>
        <v/>
      </c>
      <c r="I6" s="90" t="s">
        <v>111</v>
      </c>
      <c r="J6" s="95" t="s">
        <v>115</v>
      </c>
      <c r="K6" s="90" t="s">
        <v>116</v>
      </c>
      <c r="L6" s="148" t="s">
        <v>417</v>
      </c>
      <c r="M6" s="97" t="s">
        <v>117</v>
      </c>
      <c r="N6" s="98" t="s">
        <v>111</v>
      </c>
      <c r="O6" s="98" t="s">
        <v>111</v>
      </c>
      <c r="P6" s="98" t="s">
        <v>111</v>
      </c>
      <c r="Q6" s="98" t="s">
        <v>111</v>
      </c>
      <c r="R6" s="93" t="s">
        <v>118</v>
      </c>
      <c r="S6" s="93">
        <f>VLOOKUP(B6&amp;D6&amp;R6,[2]Table!$D:$E,2,0)</f>
        <v>1</v>
      </c>
    </row>
    <row r="7" spans="1:19" s="52" customFormat="1" ht="111.6" hidden="1" customHeight="1">
      <c r="A7" s="89" t="s">
        <v>109</v>
      </c>
      <c r="B7" s="90" t="s">
        <v>119</v>
      </c>
      <c r="C7" s="91" t="s">
        <v>111</v>
      </c>
      <c r="D7" s="92" t="s">
        <v>120</v>
      </c>
      <c r="E7" s="93" t="str">
        <f t="shared" si="0"/>
        <v/>
      </c>
      <c r="F7" s="94"/>
      <c r="G7" s="91"/>
      <c r="H7" s="90" t="str">
        <f t="shared" si="1"/>
        <v/>
      </c>
      <c r="I7" s="90"/>
      <c r="J7" s="95" t="s">
        <v>121</v>
      </c>
      <c r="K7" s="90" t="s">
        <v>122</v>
      </c>
      <c r="L7" s="148" t="s">
        <v>123</v>
      </c>
      <c r="M7" s="97" t="s">
        <v>124</v>
      </c>
      <c r="N7" s="98"/>
      <c r="O7" s="98" t="s">
        <v>111</v>
      </c>
      <c r="P7" s="98" t="s">
        <v>111</v>
      </c>
      <c r="Q7" s="98" t="s">
        <v>111</v>
      </c>
      <c r="R7" s="93" t="s">
        <v>118</v>
      </c>
      <c r="S7" s="93">
        <f>VLOOKUP(B7&amp;D7&amp;R7,[2]Table!$D:$E,2,0)</f>
        <v>4</v>
      </c>
    </row>
    <row r="8" spans="1:19" s="52" customFormat="1" ht="109.35" hidden="1" customHeight="1">
      <c r="A8" s="89" t="s">
        <v>109</v>
      </c>
      <c r="B8" s="90" t="s">
        <v>125</v>
      </c>
      <c r="C8" s="91" t="s">
        <v>111</v>
      </c>
      <c r="D8" s="92" t="s">
        <v>120</v>
      </c>
      <c r="E8" s="93" t="str">
        <f t="shared" si="0"/>
        <v/>
      </c>
      <c r="F8" s="94"/>
      <c r="G8" s="91"/>
      <c r="H8" s="90" t="str">
        <f t="shared" si="1"/>
        <v/>
      </c>
      <c r="I8" s="90"/>
      <c r="J8" s="95" t="s">
        <v>126</v>
      </c>
      <c r="K8" s="90" t="s">
        <v>127</v>
      </c>
      <c r="L8" s="96" t="s">
        <v>128</v>
      </c>
      <c r="M8" s="99" t="s">
        <v>129</v>
      </c>
      <c r="N8" s="98" t="s">
        <v>111</v>
      </c>
      <c r="O8" s="98" t="s">
        <v>111</v>
      </c>
      <c r="P8" s="98" t="s">
        <v>111</v>
      </c>
      <c r="Q8" s="98" t="s">
        <v>111</v>
      </c>
      <c r="R8" s="93" t="s">
        <v>118</v>
      </c>
      <c r="S8" s="93">
        <f>VLOOKUP(B8&amp;D8&amp;R8,[2]Table!$D:$E,2,0)</f>
        <v>4</v>
      </c>
    </row>
    <row r="9" spans="1:19" s="52" customFormat="1" ht="109.35" hidden="1" customHeight="1">
      <c r="A9" s="89" t="s">
        <v>130</v>
      </c>
      <c r="B9" s="90" t="s">
        <v>131</v>
      </c>
      <c r="C9" s="91" t="s">
        <v>111</v>
      </c>
      <c r="D9" s="92" t="s">
        <v>120</v>
      </c>
      <c r="E9" s="93" t="str">
        <f t="shared" si="0"/>
        <v/>
      </c>
      <c r="F9" s="94" t="s">
        <v>113</v>
      </c>
      <c r="G9" s="91" t="s">
        <v>114</v>
      </c>
      <c r="H9" s="90" t="str">
        <f t="shared" si="1"/>
        <v/>
      </c>
      <c r="I9" s="90" t="s">
        <v>111</v>
      </c>
      <c r="J9" s="95" t="s">
        <v>132</v>
      </c>
      <c r="K9" s="90" t="s">
        <v>133</v>
      </c>
      <c r="L9" s="96" t="s">
        <v>128</v>
      </c>
      <c r="M9" s="99" t="s">
        <v>134</v>
      </c>
      <c r="N9" s="98" t="s">
        <v>111</v>
      </c>
      <c r="O9" s="98" t="s">
        <v>111</v>
      </c>
      <c r="P9" s="98" t="s">
        <v>111</v>
      </c>
      <c r="Q9" s="98" t="s">
        <v>111</v>
      </c>
      <c r="R9" s="93" t="s">
        <v>118</v>
      </c>
      <c r="S9" s="93">
        <f>VLOOKUP(B9&amp;D9&amp;R9,[2]Table!$D:$E,2,0)</f>
        <v>5</v>
      </c>
    </row>
    <row r="10" spans="1:19" s="52" customFormat="1" ht="134.25" hidden="1" customHeight="1">
      <c r="A10" s="89" t="s">
        <v>130</v>
      </c>
      <c r="B10" s="90" t="s">
        <v>135</v>
      </c>
      <c r="C10" s="91" t="s">
        <v>111</v>
      </c>
      <c r="D10" s="92" t="s">
        <v>120</v>
      </c>
      <c r="E10" s="93" t="str">
        <f t="shared" si="0"/>
        <v/>
      </c>
      <c r="F10" s="94" t="s">
        <v>113</v>
      </c>
      <c r="G10" s="91" t="s">
        <v>114</v>
      </c>
      <c r="H10" s="90" t="str">
        <f t="shared" si="1"/>
        <v/>
      </c>
      <c r="I10" s="90" t="s">
        <v>111</v>
      </c>
      <c r="J10" s="95" t="s">
        <v>136</v>
      </c>
      <c r="K10" s="99" t="s">
        <v>137</v>
      </c>
      <c r="L10" s="96" t="s">
        <v>128</v>
      </c>
      <c r="M10" s="99" t="s">
        <v>138</v>
      </c>
      <c r="N10" s="98" t="s">
        <v>111</v>
      </c>
      <c r="O10" s="98" t="s">
        <v>111</v>
      </c>
      <c r="P10" s="98" t="s">
        <v>111</v>
      </c>
      <c r="Q10" s="98" t="s">
        <v>111</v>
      </c>
      <c r="R10" s="93" t="s">
        <v>118</v>
      </c>
      <c r="S10" s="93">
        <f>VLOOKUP(B10&amp;D10&amp;R10,[2]Table!$D:$E,2,0)</f>
        <v>4</v>
      </c>
    </row>
    <row r="11" spans="1:19" s="52" customFormat="1" ht="109.35" hidden="1" customHeight="1">
      <c r="A11" s="89" t="s">
        <v>130</v>
      </c>
      <c r="B11" s="90" t="s">
        <v>139</v>
      </c>
      <c r="C11" s="91" t="s">
        <v>111</v>
      </c>
      <c r="D11" s="92" t="s">
        <v>120</v>
      </c>
      <c r="E11" s="93" t="str">
        <f t="shared" si="0"/>
        <v/>
      </c>
      <c r="F11" s="94"/>
      <c r="G11" s="91"/>
      <c r="H11" s="90" t="str">
        <f t="shared" si="1"/>
        <v/>
      </c>
      <c r="I11" s="90"/>
      <c r="J11" s="95" t="s">
        <v>140</v>
      </c>
      <c r="K11" s="99" t="s">
        <v>141</v>
      </c>
      <c r="L11" s="96" t="s">
        <v>128</v>
      </c>
      <c r="M11" s="99" t="s">
        <v>142</v>
      </c>
      <c r="N11" s="98" t="s">
        <v>111</v>
      </c>
      <c r="O11" s="98" t="s">
        <v>111</v>
      </c>
      <c r="P11" s="98" t="s">
        <v>111</v>
      </c>
      <c r="Q11" s="98" t="s">
        <v>111</v>
      </c>
      <c r="R11" s="93" t="s">
        <v>118</v>
      </c>
      <c r="S11" s="93">
        <f>VLOOKUP(B11&amp;D11&amp;R11,[2]Table!$D:$E,2,0)</f>
        <v>3</v>
      </c>
    </row>
    <row r="12" spans="1:19" s="52" customFormat="1" ht="109.35" hidden="1" customHeight="1">
      <c r="A12" s="89" t="s">
        <v>143</v>
      </c>
      <c r="B12" s="90" t="s">
        <v>144</v>
      </c>
      <c r="C12" s="91" t="s">
        <v>111</v>
      </c>
      <c r="D12" s="92" t="s">
        <v>120</v>
      </c>
      <c r="E12" s="93" t="str">
        <f t="shared" si="0"/>
        <v/>
      </c>
      <c r="F12" s="94"/>
      <c r="G12" s="91"/>
      <c r="H12" s="90" t="str">
        <f t="shared" si="1"/>
        <v/>
      </c>
      <c r="I12" s="90"/>
      <c r="J12" s="95" t="s">
        <v>145</v>
      </c>
      <c r="K12" s="99" t="s">
        <v>146</v>
      </c>
      <c r="L12" s="96" t="s">
        <v>128</v>
      </c>
      <c r="M12" s="99" t="s">
        <v>147</v>
      </c>
      <c r="N12" s="98"/>
      <c r="O12" s="98" t="s">
        <v>111</v>
      </c>
      <c r="P12" s="98" t="s">
        <v>111</v>
      </c>
      <c r="Q12" s="98" t="s">
        <v>111</v>
      </c>
      <c r="R12" s="93" t="s">
        <v>118</v>
      </c>
      <c r="S12" s="93">
        <f>VLOOKUP(B12&amp;D12&amp;R12,[2]Table!$D:$E,2,0)</f>
        <v>5</v>
      </c>
    </row>
    <row r="13" spans="1:19" s="52" customFormat="1" ht="109.35" hidden="1" customHeight="1">
      <c r="A13" s="89" t="s">
        <v>143</v>
      </c>
      <c r="B13" s="90" t="s">
        <v>148</v>
      </c>
      <c r="C13" s="91" t="s">
        <v>111</v>
      </c>
      <c r="D13" s="92" t="s">
        <v>120</v>
      </c>
      <c r="E13" s="93" t="str">
        <f t="shared" si="0"/>
        <v/>
      </c>
      <c r="F13" s="94"/>
      <c r="G13" s="91"/>
      <c r="H13" s="90" t="str">
        <f t="shared" si="1"/>
        <v/>
      </c>
      <c r="I13" s="90"/>
      <c r="J13" s="95" t="s">
        <v>149</v>
      </c>
      <c r="K13" s="99" t="s">
        <v>150</v>
      </c>
      <c r="L13" s="96" t="s">
        <v>128</v>
      </c>
      <c r="M13" s="99" t="s">
        <v>151</v>
      </c>
      <c r="N13" s="98"/>
      <c r="O13" s="98" t="s">
        <v>111</v>
      </c>
      <c r="P13" s="98" t="s">
        <v>111</v>
      </c>
      <c r="Q13" s="98" t="s">
        <v>111</v>
      </c>
      <c r="R13" s="93" t="s">
        <v>118</v>
      </c>
      <c r="S13" s="93">
        <f>VLOOKUP(B13&amp;D13&amp;R13,[2]Table!$D:$E,2,0)</f>
        <v>4</v>
      </c>
    </row>
    <row r="14" spans="1:19" s="52" customFormat="1" ht="18.600000000000001" hidden="1" customHeight="1">
      <c r="A14" s="89" t="s">
        <v>143</v>
      </c>
      <c r="B14" s="90" t="s">
        <v>152</v>
      </c>
      <c r="C14" s="91" t="s">
        <v>111</v>
      </c>
      <c r="D14" s="92" t="s">
        <v>120</v>
      </c>
      <c r="E14" s="93" t="str">
        <f t="shared" si="0"/>
        <v/>
      </c>
      <c r="F14" s="94"/>
      <c r="G14" s="91"/>
      <c r="H14" s="90" t="str">
        <f t="shared" si="1"/>
        <v/>
      </c>
      <c r="I14" s="90"/>
      <c r="J14" s="95" t="s">
        <v>153</v>
      </c>
      <c r="K14" s="99" t="s">
        <v>154</v>
      </c>
      <c r="L14" s="96" t="s">
        <v>155</v>
      </c>
      <c r="M14" s="99" t="s">
        <v>156</v>
      </c>
      <c r="N14" s="98" t="s">
        <v>111</v>
      </c>
      <c r="O14" s="98" t="s">
        <v>111</v>
      </c>
      <c r="P14" s="98" t="s">
        <v>111</v>
      </c>
      <c r="Q14" s="98" t="s">
        <v>111</v>
      </c>
      <c r="R14" s="93" t="s">
        <v>118</v>
      </c>
      <c r="S14" s="93">
        <f>VLOOKUP(B14&amp;D14&amp;R14,[2]Table!$D:$E,2,0)</f>
        <v>4</v>
      </c>
    </row>
    <row r="15" spans="1:19" s="52" customFormat="1" ht="308.39999999999998" hidden="1" customHeight="1">
      <c r="A15" s="89" t="s">
        <v>157</v>
      </c>
      <c r="B15" s="90" t="s">
        <v>158</v>
      </c>
      <c r="C15" s="91" t="s">
        <v>111</v>
      </c>
      <c r="D15" s="92" t="s">
        <v>120</v>
      </c>
      <c r="E15" s="93" t="str">
        <f t="shared" si="0"/>
        <v/>
      </c>
      <c r="F15" s="94" t="s">
        <v>113</v>
      </c>
      <c r="G15" s="91" t="s">
        <v>114</v>
      </c>
      <c r="H15" s="90" t="str">
        <f t="shared" si="1"/>
        <v/>
      </c>
      <c r="I15" s="90" t="s">
        <v>111</v>
      </c>
      <c r="J15" s="100" t="s">
        <v>159</v>
      </c>
      <c r="K15" s="99" t="s">
        <v>160</v>
      </c>
      <c r="L15" s="148"/>
      <c r="M15" s="101" t="s">
        <v>161</v>
      </c>
      <c r="N15" s="98"/>
      <c r="O15" s="98" t="s">
        <v>111</v>
      </c>
      <c r="P15" s="98" t="s">
        <v>111</v>
      </c>
      <c r="Q15" s="98" t="s">
        <v>111</v>
      </c>
      <c r="R15" s="93" t="s">
        <v>118</v>
      </c>
      <c r="S15" s="93">
        <f>VLOOKUP(B15&amp;D15&amp;R15,[2]Table!$D:$E,2,0)</f>
        <v>5</v>
      </c>
    </row>
    <row r="16" spans="1:19" s="52" customFormat="1" ht="109.35" hidden="1" customHeight="1">
      <c r="A16" s="89" t="s">
        <v>157</v>
      </c>
      <c r="B16" s="90" t="s">
        <v>162</v>
      </c>
      <c r="C16" s="91" t="s">
        <v>111</v>
      </c>
      <c r="D16" s="92" t="s">
        <v>120</v>
      </c>
      <c r="E16" s="93" t="str">
        <f t="shared" si="0"/>
        <v/>
      </c>
      <c r="F16" s="94"/>
      <c r="G16" s="91"/>
      <c r="H16" s="90" t="str">
        <f t="shared" si="1"/>
        <v/>
      </c>
      <c r="I16" s="90"/>
      <c r="J16" s="100" t="s">
        <v>163</v>
      </c>
      <c r="K16" s="99" t="s">
        <v>164</v>
      </c>
      <c r="L16" s="96" t="s">
        <v>128</v>
      </c>
      <c r="M16" s="101" t="s">
        <v>165</v>
      </c>
      <c r="N16" s="98"/>
      <c r="O16" s="98" t="s">
        <v>111</v>
      </c>
      <c r="P16" s="98" t="s">
        <v>111</v>
      </c>
      <c r="Q16" s="98" t="s">
        <v>111</v>
      </c>
      <c r="R16" s="93" t="s">
        <v>118</v>
      </c>
      <c r="S16" s="93">
        <f>VLOOKUP(B16&amp;D16&amp;R16,[2]Table!$D:$E,2,0)</f>
        <v>4</v>
      </c>
    </row>
    <row r="17" spans="1:19" s="52" customFormat="1" ht="123.75" hidden="1" customHeight="1">
      <c r="A17" s="89" t="s">
        <v>157</v>
      </c>
      <c r="B17" s="90" t="s">
        <v>166</v>
      </c>
      <c r="C17" s="91" t="s">
        <v>111</v>
      </c>
      <c r="D17" s="92" t="s">
        <v>120</v>
      </c>
      <c r="E17" s="93" t="str">
        <f t="shared" si="0"/>
        <v/>
      </c>
      <c r="F17" s="94" t="s">
        <v>113</v>
      </c>
      <c r="G17" s="91" t="s">
        <v>114</v>
      </c>
      <c r="H17" s="90" t="str">
        <f t="shared" si="1"/>
        <v/>
      </c>
      <c r="I17" s="90" t="s">
        <v>111</v>
      </c>
      <c r="J17" s="95" t="s">
        <v>167</v>
      </c>
      <c r="K17" s="99" t="s">
        <v>168</v>
      </c>
      <c r="L17" s="96" t="s">
        <v>169</v>
      </c>
      <c r="M17" s="99" t="s">
        <v>170</v>
      </c>
      <c r="N17" s="98"/>
      <c r="O17" s="98" t="s">
        <v>111</v>
      </c>
      <c r="P17" s="98" t="s">
        <v>111</v>
      </c>
      <c r="Q17" s="98" t="s">
        <v>111</v>
      </c>
      <c r="R17" s="93" t="s">
        <v>118</v>
      </c>
      <c r="S17" s="93">
        <f>VLOOKUP(B17&amp;D17&amp;R17,[2]Table!$D:$E,2,0)</f>
        <v>5</v>
      </c>
    </row>
    <row r="18" spans="1:19" s="52" customFormat="1" ht="91.2" hidden="1" customHeight="1">
      <c r="A18" s="89" t="s">
        <v>171</v>
      </c>
      <c r="B18" s="90" t="s">
        <v>172</v>
      </c>
      <c r="C18" s="91" t="s">
        <v>111</v>
      </c>
      <c r="D18" s="92" t="s">
        <v>120</v>
      </c>
      <c r="E18" s="93" t="str">
        <f t="shared" si="0"/>
        <v/>
      </c>
      <c r="F18" s="94" t="s">
        <v>113</v>
      </c>
      <c r="G18" s="91" t="s">
        <v>114</v>
      </c>
      <c r="H18" s="90" t="str">
        <f t="shared" si="1"/>
        <v/>
      </c>
      <c r="I18" s="90" t="s">
        <v>111</v>
      </c>
      <c r="J18" s="95" t="s">
        <v>173</v>
      </c>
      <c r="K18" s="99" t="s">
        <v>174</v>
      </c>
      <c r="L18" s="96"/>
      <c r="M18" s="99" t="s">
        <v>175</v>
      </c>
      <c r="N18" s="98" t="s">
        <v>111</v>
      </c>
      <c r="O18" s="98" t="s">
        <v>111</v>
      </c>
      <c r="P18" s="98" t="s">
        <v>111</v>
      </c>
      <c r="Q18" s="98" t="s">
        <v>111</v>
      </c>
      <c r="R18" s="93" t="s">
        <v>118</v>
      </c>
      <c r="S18" s="93">
        <f>VLOOKUP(B18&amp;D18&amp;R18,[2]Table!$D:$E,2,0)</f>
        <v>5</v>
      </c>
    </row>
    <row r="19" spans="1:19" s="52" customFormat="1" ht="109.35" hidden="1" customHeight="1">
      <c r="A19" s="89" t="s">
        <v>171</v>
      </c>
      <c r="B19" s="90" t="s">
        <v>176</v>
      </c>
      <c r="C19" s="91" t="s">
        <v>111</v>
      </c>
      <c r="D19" s="92" t="s">
        <v>120</v>
      </c>
      <c r="E19" s="93" t="str">
        <f t="shared" si="0"/>
        <v/>
      </c>
      <c r="F19" s="94"/>
      <c r="G19" s="91"/>
      <c r="H19" s="90" t="str">
        <f t="shared" si="1"/>
        <v/>
      </c>
      <c r="I19" s="90"/>
      <c r="J19" s="102" t="s">
        <v>177</v>
      </c>
      <c r="K19" s="99" t="s">
        <v>178</v>
      </c>
      <c r="L19" s="96" t="s">
        <v>128</v>
      </c>
      <c r="M19" s="99" t="s">
        <v>179</v>
      </c>
      <c r="N19" s="98"/>
      <c r="O19" s="98" t="s">
        <v>111</v>
      </c>
      <c r="P19" s="98" t="s">
        <v>111</v>
      </c>
      <c r="Q19" s="98" t="s">
        <v>111</v>
      </c>
      <c r="R19" s="93" t="s">
        <v>118</v>
      </c>
      <c r="S19" s="93">
        <f>VLOOKUP(B19&amp;D19&amp;R19,[2]Table!$D:$E,2,0)</f>
        <v>3</v>
      </c>
    </row>
    <row r="20" spans="1:19" s="52" customFormat="1" ht="109.35" hidden="1" customHeight="1">
      <c r="A20" s="89" t="s">
        <v>171</v>
      </c>
      <c r="B20" s="90" t="s">
        <v>180</v>
      </c>
      <c r="C20" s="91" t="s">
        <v>111</v>
      </c>
      <c r="D20" s="92" t="s">
        <v>120</v>
      </c>
      <c r="E20" s="93" t="str">
        <f t="shared" si="0"/>
        <v/>
      </c>
      <c r="F20" s="94"/>
      <c r="G20" s="91"/>
      <c r="H20" s="90" t="str">
        <f t="shared" si="1"/>
        <v/>
      </c>
      <c r="I20" s="90"/>
      <c r="J20" s="102" t="s">
        <v>181</v>
      </c>
      <c r="K20" s="99" t="s">
        <v>182</v>
      </c>
      <c r="L20" s="96" t="s">
        <v>128</v>
      </c>
      <c r="M20" s="99" t="s">
        <v>183</v>
      </c>
      <c r="N20" s="98" t="s">
        <v>111</v>
      </c>
      <c r="O20" s="98" t="s">
        <v>111</v>
      </c>
      <c r="P20" s="98" t="s">
        <v>111</v>
      </c>
      <c r="Q20" s="98" t="s">
        <v>111</v>
      </c>
      <c r="R20" s="93" t="s">
        <v>118</v>
      </c>
      <c r="S20" s="93">
        <f>VLOOKUP(B20&amp;D20&amp;R20,[2]Table!$D:$E,2,0)</f>
        <v>1</v>
      </c>
    </row>
    <row r="21" spans="1:19" s="52" customFormat="1" ht="109.35" hidden="1" customHeight="1">
      <c r="A21" s="89" t="s">
        <v>171</v>
      </c>
      <c r="B21" s="90" t="s">
        <v>184</v>
      </c>
      <c r="C21" s="91" t="s">
        <v>111</v>
      </c>
      <c r="D21" s="92" t="s">
        <v>120</v>
      </c>
      <c r="E21" s="93" t="str">
        <f t="shared" si="0"/>
        <v/>
      </c>
      <c r="F21" s="94"/>
      <c r="G21" s="91"/>
      <c r="H21" s="90" t="str">
        <f t="shared" si="1"/>
        <v/>
      </c>
      <c r="I21" s="90"/>
      <c r="J21" s="102" t="s">
        <v>186</v>
      </c>
      <c r="K21" s="99" t="s">
        <v>187</v>
      </c>
      <c r="L21" s="96"/>
      <c r="M21" s="97" t="s">
        <v>188</v>
      </c>
      <c r="N21" s="98" t="s">
        <v>111</v>
      </c>
      <c r="O21" s="98" t="s">
        <v>111</v>
      </c>
      <c r="P21" s="98" t="s">
        <v>111</v>
      </c>
      <c r="Q21" s="98" t="s">
        <v>111</v>
      </c>
      <c r="R21" s="93" t="s">
        <v>118</v>
      </c>
      <c r="S21" s="93">
        <f>VLOOKUP(B21&amp;D21&amp;R21,[2]Table!$D:$E,2,0)</f>
        <v>1</v>
      </c>
    </row>
    <row r="22" spans="1:19" s="52" customFormat="1" ht="109.35" hidden="1" customHeight="1">
      <c r="A22" s="89" t="s">
        <v>189</v>
      </c>
      <c r="B22" s="90" t="s">
        <v>190</v>
      </c>
      <c r="C22" s="91" t="s">
        <v>111</v>
      </c>
      <c r="D22" s="92" t="s">
        <v>120</v>
      </c>
      <c r="E22" s="93" t="str">
        <f t="shared" si="0"/>
        <v/>
      </c>
      <c r="F22" s="94"/>
      <c r="G22" s="91"/>
      <c r="H22" s="90" t="str">
        <f t="shared" si="1"/>
        <v/>
      </c>
      <c r="I22" s="90"/>
      <c r="J22" s="102" t="s">
        <v>191</v>
      </c>
      <c r="K22" s="90" t="s">
        <v>192</v>
      </c>
      <c r="L22" s="96" t="s">
        <v>128</v>
      </c>
      <c r="M22" s="99" t="s">
        <v>193</v>
      </c>
      <c r="N22" s="98" t="s">
        <v>111</v>
      </c>
      <c r="O22" s="98" t="s">
        <v>111</v>
      </c>
      <c r="P22" s="98" t="s">
        <v>111</v>
      </c>
      <c r="Q22" s="98" t="s">
        <v>111</v>
      </c>
      <c r="R22" s="93" t="s">
        <v>118</v>
      </c>
      <c r="S22" s="93">
        <f>VLOOKUP(B22&amp;D22&amp;R22,[2]Table!$D:$E,2,0)</f>
        <v>2</v>
      </c>
    </row>
    <row r="23" spans="1:19" s="52" customFormat="1" ht="109.35" hidden="1" customHeight="1">
      <c r="A23" s="89" t="s">
        <v>189</v>
      </c>
      <c r="B23" s="90" t="s">
        <v>194</v>
      </c>
      <c r="C23" s="91" t="s">
        <v>111</v>
      </c>
      <c r="D23" s="92" t="s">
        <v>120</v>
      </c>
      <c r="E23" s="93" t="str">
        <f t="shared" si="0"/>
        <v/>
      </c>
      <c r="F23" s="94"/>
      <c r="G23" s="91"/>
      <c r="H23" s="90" t="str">
        <f t="shared" si="1"/>
        <v/>
      </c>
      <c r="I23" s="90"/>
      <c r="J23" s="102" t="s">
        <v>195</v>
      </c>
      <c r="K23" s="99" t="s">
        <v>196</v>
      </c>
      <c r="L23" s="96" t="s">
        <v>128</v>
      </c>
      <c r="M23" s="99" t="s">
        <v>197</v>
      </c>
      <c r="N23" s="98" t="s">
        <v>111</v>
      </c>
      <c r="O23" s="98" t="s">
        <v>111</v>
      </c>
      <c r="P23" s="98" t="s">
        <v>111</v>
      </c>
      <c r="Q23" s="98" t="s">
        <v>111</v>
      </c>
      <c r="R23" s="93" t="s">
        <v>118</v>
      </c>
      <c r="S23" s="93">
        <f>VLOOKUP(B23&amp;D23&amp;R23,[2]Table!$D:$E,2,0)</f>
        <v>2</v>
      </c>
    </row>
    <row r="24" spans="1:19" s="52" customFormat="1" ht="109.35" hidden="1" customHeight="1">
      <c r="A24" s="89" t="s">
        <v>189</v>
      </c>
      <c r="B24" s="90" t="s">
        <v>198</v>
      </c>
      <c r="C24" s="91" t="s">
        <v>111</v>
      </c>
      <c r="D24" s="92" t="s">
        <v>120</v>
      </c>
      <c r="E24" s="93" t="str">
        <f t="shared" si="0"/>
        <v/>
      </c>
      <c r="F24" s="94"/>
      <c r="G24" s="91"/>
      <c r="H24" s="90" t="str">
        <f t="shared" si="1"/>
        <v/>
      </c>
      <c r="I24" s="90"/>
      <c r="J24" s="102" t="s">
        <v>199</v>
      </c>
      <c r="K24" s="99" t="s">
        <v>200</v>
      </c>
      <c r="L24" s="96" t="s">
        <v>128</v>
      </c>
      <c r="M24" s="99" t="s">
        <v>201</v>
      </c>
      <c r="N24" s="98" t="s">
        <v>111</v>
      </c>
      <c r="O24" s="98" t="s">
        <v>111</v>
      </c>
      <c r="P24" s="98" t="s">
        <v>111</v>
      </c>
      <c r="Q24" s="98" t="s">
        <v>111</v>
      </c>
      <c r="R24" s="93" t="s">
        <v>118</v>
      </c>
      <c r="S24" s="93">
        <f>VLOOKUP(B24&amp;D24&amp;R24,[2]Table!$D:$E,2,0)</f>
        <v>2</v>
      </c>
    </row>
    <row r="25" spans="1:19" s="52" customFormat="1" ht="109.35" hidden="1" customHeight="1">
      <c r="A25" s="89" t="s">
        <v>202</v>
      </c>
      <c r="B25" s="90" t="s">
        <v>203</v>
      </c>
      <c r="C25" s="91" t="s">
        <v>111</v>
      </c>
      <c r="D25" s="92" t="s">
        <v>120</v>
      </c>
      <c r="E25" s="93" t="str">
        <f t="shared" si="0"/>
        <v/>
      </c>
      <c r="F25" s="94"/>
      <c r="G25" s="91"/>
      <c r="H25" s="90" t="str">
        <f t="shared" si="1"/>
        <v/>
      </c>
      <c r="I25" s="90"/>
      <c r="J25" s="102" t="s">
        <v>204</v>
      </c>
      <c r="K25" s="99" t="s">
        <v>205</v>
      </c>
      <c r="L25" s="96" t="s">
        <v>128</v>
      </c>
      <c r="M25" s="101" t="s">
        <v>206</v>
      </c>
      <c r="N25" s="98"/>
      <c r="O25" s="98" t="s">
        <v>111</v>
      </c>
      <c r="P25" s="98" t="s">
        <v>111</v>
      </c>
      <c r="Q25" s="98" t="s">
        <v>111</v>
      </c>
      <c r="R25" s="93" t="s">
        <v>118</v>
      </c>
      <c r="S25" s="93">
        <f>VLOOKUP(B25&amp;D25&amp;R25,[2]Table!$D:$E,2,0)</f>
        <v>0.5</v>
      </c>
    </row>
    <row r="26" spans="1:19" s="52" customFormat="1" ht="109.35" hidden="1" customHeight="1">
      <c r="A26" s="89" t="s">
        <v>202</v>
      </c>
      <c r="B26" s="90" t="s">
        <v>207</v>
      </c>
      <c r="C26" s="91" t="s">
        <v>111</v>
      </c>
      <c r="D26" s="92" t="s">
        <v>120</v>
      </c>
      <c r="E26" s="93" t="str">
        <f t="shared" si="0"/>
        <v/>
      </c>
      <c r="F26" s="94"/>
      <c r="G26" s="91"/>
      <c r="H26" s="90" t="str">
        <f t="shared" si="1"/>
        <v/>
      </c>
      <c r="I26" s="90"/>
      <c r="J26" s="102" t="s">
        <v>208</v>
      </c>
      <c r="K26" s="95" t="s">
        <v>209</v>
      </c>
      <c r="L26" s="96" t="s">
        <v>128</v>
      </c>
      <c r="M26" s="101" t="s">
        <v>210</v>
      </c>
      <c r="N26" s="98"/>
      <c r="O26" s="98" t="s">
        <v>111</v>
      </c>
      <c r="P26" s="98" t="s">
        <v>111</v>
      </c>
      <c r="Q26" s="98" t="s">
        <v>111</v>
      </c>
      <c r="R26" s="93" t="s">
        <v>118</v>
      </c>
      <c r="S26" s="93">
        <f>VLOOKUP(B26&amp;D26&amp;R26,[2]Table!$D:$E,2,0)</f>
        <v>0.5</v>
      </c>
    </row>
    <row r="27" spans="1:19" s="52" customFormat="1" ht="109.35" hidden="1" customHeight="1">
      <c r="A27" s="89" t="s">
        <v>211</v>
      </c>
      <c r="B27" s="90" t="s">
        <v>212</v>
      </c>
      <c r="C27" s="91" t="s">
        <v>111</v>
      </c>
      <c r="D27" s="92" t="s">
        <v>120</v>
      </c>
      <c r="E27" s="93" t="str">
        <f t="shared" si="0"/>
        <v/>
      </c>
      <c r="F27" s="94"/>
      <c r="G27" s="91"/>
      <c r="H27" s="90" t="str">
        <f t="shared" si="1"/>
        <v/>
      </c>
      <c r="I27" s="90"/>
      <c r="J27" s="102" t="s">
        <v>213</v>
      </c>
      <c r="K27" s="95" t="s">
        <v>214</v>
      </c>
      <c r="L27" s="96" t="s">
        <v>128</v>
      </c>
      <c r="M27" s="101" t="s">
        <v>215</v>
      </c>
      <c r="N27" s="98"/>
      <c r="O27" s="98" t="s">
        <v>111</v>
      </c>
      <c r="P27" s="98" t="s">
        <v>111</v>
      </c>
      <c r="Q27" s="98" t="s">
        <v>111</v>
      </c>
      <c r="R27" s="93" t="s">
        <v>118</v>
      </c>
      <c r="S27" s="93">
        <f>VLOOKUP(B27&amp;D27&amp;R27,[2]Table!$D:$E,2,0)</f>
        <v>0.5</v>
      </c>
    </row>
    <row r="28" spans="1:19" s="52" customFormat="1" ht="109.35" hidden="1" customHeight="1">
      <c r="A28" s="89" t="s">
        <v>211</v>
      </c>
      <c r="B28" s="90" t="s">
        <v>216</v>
      </c>
      <c r="C28" s="91" t="s">
        <v>111</v>
      </c>
      <c r="D28" s="92" t="s">
        <v>120</v>
      </c>
      <c r="E28" s="93" t="str">
        <f t="shared" si="0"/>
        <v/>
      </c>
      <c r="F28" s="94"/>
      <c r="G28" s="91"/>
      <c r="H28" s="90" t="str">
        <f t="shared" si="1"/>
        <v/>
      </c>
      <c r="I28" s="90"/>
      <c r="J28" s="102" t="s">
        <v>217</v>
      </c>
      <c r="K28" s="95" t="s">
        <v>218</v>
      </c>
      <c r="L28" s="96" t="s">
        <v>128</v>
      </c>
      <c r="M28" s="101" t="s">
        <v>219</v>
      </c>
      <c r="N28" s="98" t="s">
        <v>111</v>
      </c>
      <c r="O28" s="98" t="s">
        <v>111</v>
      </c>
      <c r="P28" s="98" t="s">
        <v>111</v>
      </c>
      <c r="Q28" s="98" t="s">
        <v>111</v>
      </c>
      <c r="R28" s="93" t="s">
        <v>118</v>
      </c>
      <c r="S28" s="93">
        <f>VLOOKUP(B28&amp;D28&amp;R28,[2]Table!$D:$E,2,0)</f>
        <v>0.5</v>
      </c>
    </row>
    <row r="29" spans="1:19" s="52" customFormat="1" ht="109.35" hidden="1" customHeight="1">
      <c r="A29" s="89" t="s">
        <v>211</v>
      </c>
      <c r="B29" s="90" t="s">
        <v>220</v>
      </c>
      <c r="C29" s="91" t="s">
        <v>111</v>
      </c>
      <c r="D29" s="92" t="s">
        <v>120</v>
      </c>
      <c r="E29" s="93" t="str">
        <f t="shared" si="0"/>
        <v/>
      </c>
      <c r="F29" s="94"/>
      <c r="G29" s="91"/>
      <c r="H29" s="90" t="str">
        <f t="shared" si="1"/>
        <v/>
      </c>
      <c r="I29" s="90"/>
      <c r="J29" s="102" t="s">
        <v>221</v>
      </c>
      <c r="K29" s="90" t="s">
        <v>222</v>
      </c>
      <c r="L29" s="96" t="s">
        <v>128</v>
      </c>
      <c r="M29" s="101" t="s">
        <v>223</v>
      </c>
      <c r="N29" s="98"/>
      <c r="O29" s="98" t="s">
        <v>111</v>
      </c>
      <c r="P29" s="98" t="s">
        <v>111</v>
      </c>
      <c r="Q29" s="98" t="s">
        <v>111</v>
      </c>
      <c r="R29" s="93" t="s">
        <v>118</v>
      </c>
      <c r="S29" s="93">
        <f>VLOOKUP(B29&amp;D29&amp;R29,[2]Table!$D:$E,2,0)</f>
        <v>0.5</v>
      </c>
    </row>
    <row r="30" spans="1:19" s="52" customFormat="1" ht="109.35" hidden="1" customHeight="1">
      <c r="A30" s="89" t="s">
        <v>224</v>
      </c>
      <c r="B30" s="90" t="s">
        <v>225</v>
      </c>
      <c r="C30" s="91" t="s">
        <v>111</v>
      </c>
      <c r="D30" s="92" t="s">
        <v>120</v>
      </c>
      <c r="E30" s="93" t="str">
        <f t="shared" si="0"/>
        <v/>
      </c>
      <c r="F30" s="94"/>
      <c r="G30" s="91"/>
      <c r="H30" s="90" t="str">
        <f t="shared" si="1"/>
        <v/>
      </c>
      <c r="I30" s="90"/>
      <c r="J30" s="102" t="s">
        <v>226</v>
      </c>
      <c r="K30" s="90" t="s">
        <v>227</v>
      </c>
      <c r="L30" s="96" t="s">
        <v>128</v>
      </c>
      <c r="M30" s="101" t="s">
        <v>228</v>
      </c>
      <c r="N30" s="98" t="s">
        <v>111</v>
      </c>
      <c r="O30" s="98" t="s">
        <v>111</v>
      </c>
      <c r="P30" s="98" t="s">
        <v>111</v>
      </c>
      <c r="Q30" s="98" t="s">
        <v>111</v>
      </c>
      <c r="R30" s="93" t="s">
        <v>118</v>
      </c>
      <c r="S30" s="93">
        <f>VLOOKUP(B30&amp;D30&amp;R30,[2]Table!$D:$E,2,0)</f>
        <v>0.5</v>
      </c>
    </row>
    <row r="31" spans="1:19" s="52" customFormat="1" ht="129.75" hidden="1" customHeight="1">
      <c r="A31" s="89" t="s">
        <v>224</v>
      </c>
      <c r="B31" s="90" t="s">
        <v>229</v>
      </c>
      <c r="C31" s="91" t="s">
        <v>111</v>
      </c>
      <c r="D31" s="92" t="s">
        <v>120</v>
      </c>
      <c r="E31" s="93" t="str">
        <f t="shared" si="0"/>
        <v/>
      </c>
      <c r="F31" s="94"/>
      <c r="G31" s="91"/>
      <c r="H31" s="90" t="str">
        <f t="shared" si="1"/>
        <v/>
      </c>
      <c r="I31" s="90"/>
      <c r="J31" s="102" t="s">
        <v>230</v>
      </c>
      <c r="K31" s="90" t="s">
        <v>231</v>
      </c>
      <c r="L31" s="96" t="s">
        <v>128</v>
      </c>
      <c r="M31" s="101" t="s">
        <v>232</v>
      </c>
      <c r="N31" s="98" t="s">
        <v>111</v>
      </c>
      <c r="O31" s="98" t="s">
        <v>111</v>
      </c>
      <c r="P31" s="98" t="s">
        <v>111</v>
      </c>
      <c r="Q31" s="98" t="s">
        <v>111</v>
      </c>
      <c r="R31" s="93" t="s">
        <v>118</v>
      </c>
      <c r="S31" s="93">
        <f>VLOOKUP(B31&amp;D31&amp;R31,[2]Table!$D:$E,2,0)</f>
        <v>0.5</v>
      </c>
    </row>
    <row r="32" spans="1:19" s="52" customFormat="1" ht="109.35" hidden="1" customHeight="1">
      <c r="A32" s="89" t="s">
        <v>233</v>
      </c>
      <c r="B32" s="90" t="s">
        <v>234</v>
      </c>
      <c r="C32" s="91" t="s">
        <v>111</v>
      </c>
      <c r="D32" s="92" t="s">
        <v>120</v>
      </c>
      <c r="E32" s="93" t="str">
        <f t="shared" si="0"/>
        <v/>
      </c>
      <c r="F32" s="94"/>
      <c r="G32" s="91"/>
      <c r="H32" s="90" t="str">
        <f t="shared" si="1"/>
        <v/>
      </c>
      <c r="I32" s="90"/>
      <c r="J32" s="102" t="s">
        <v>235</v>
      </c>
      <c r="K32" s="90" t="s">
        <v>236</v>
      </c>
      <c r="L32" s="96" t="s">
        <v>128</v>
      </c>
      <c r="M32" s="101" t="s">
        <v>237</v>
      </c>
      <c r="N32" s="98"/>
      <c r="O32" s="98" t="s">
        <v>111</v>
      </c>
      <c r="P32" s="98" t="s">
        <v>111</v>
      </c>
      <c r="Q32" s="98" t="s">
        <v>111</v>
      </c>
      <c r="R32" s="93" t="s">
        <v>118</v>
      </c>
      <c r="S32" s="93">
        <f>VLOOKUP(B32&amp;D32&amp;R32,[2]Table!$D:$E,2,0)</f>
        <v>0.5</v>
      </c>
    </row>
    <row r="33" spans="1:19" s="53" customFormat="1" ht="109.35" hidden="1" customHeight="1">
      <c r="A33" s="89" t="s">
        <v>233</v>
      </c>
      <c r="B33" s="90" t="s">
        <v>238</v>
      </c>
      <c r="C33" s="91" t="s">
        <v>111</v>
      </c>
      <c r="D33" s="92" t="s">
        <v>120</v>
      </c>
      <c r="E33" s="93" t="str">
        <f t="shared" si="0"/>
        <v/>
      </c>
      <c r="F33" s="94"/>
      <c r="G33" s="91"/>
      <c r="H33" s="90" t="str">
        <f t="shared" si="1"/>
        <v/>
      </c>
      <c r="I33" s="90"/>
      <c r="J33" s="102" t="s">
        <v>239</v>
      </c>
      <c r="K33" s="99" t="s">
        <v>240</v>
      </c>
      <c r="L33" s="96" t="s">
        <v>128</v>
      </c>
      <c r="M33" s="101" t="s">
        <v>241</v>
      </c>
      <c r="N33" s="98"/>
      <c r="O33" s="98" t="s">
        <v>111</v>
      </c>
      <c r="P33" s="98" t="s">
        <v>111</v>
      </c>
      <c r="Q33" s="98"/>
      <c r="R33" s="93" t="s">
        <v>118</v>
      </c>
      <c r="S33" s="93">
        <f>VLOOKUP(B33&amp;D33&amp;R33,[2]Table!$D:$E,2,0)</f>
        <v>0.5</v>
      </c>
    </row>
    <row r="34" spans="1:19" s="53" customFormat="1" ht="109.35" hidden="1" customHeight="1">
      <c r="A34" s="89" t="s">
        <v>233</v>
      </c>
      <c r="B34" s="90" t="s">
        <v>242</v>
      </c>
      <c r="C34" s="91" t="s">
        <v>111</v>
      </c>
      <c r="D34" s="92" t="s">
        <v>120</v>
      </c>
      <c r="E34" s="93" t="str">
        <f t="shared" si="0"/>
        <v/>
      </c>
      <c r="F34" s="94"/>
      <c r="G34" s="91"/>
      <c r="H34" s="90" t="str">
        <f t="shared" si="1"/>
        <v/>
      </c>
      <c r="I34" s="90"/>
      <c r="J34" s="102" t="s">
        <v>243</v>
      </c>
      <c r="K34" s="99" t="s">
        <v>244</v>
      </c>
      <c r="L34" s="96" t="s">
        <v>128</v>
      </c>
      <c r="M34" s="101" t="s">
        <v>245</v>
      </c>
      <c r="N34" s="98"/>
      <c r="O34" s="98" t="s">
        <v>111</v>
      </c>
      <c r="P34" s="98" t="s">
        <v>111</v>
      </c>
      <c r="Q34" s="98" t="s">
        <v>111</v>
      </c>
      <c r="R34" s="93" t="s">
        <v>118</v>
      </c>
      <c r="S34" s="93">
        <f>VLOOKUP(B34&amp;D34&amp;R34,[2]Table!$D:$E,2,0)</f>
        <v>0.5</v>
      </c>
    </row>
    <row r="35" spans="1:19" s="54" customFormat="1" ht="109.35" hidden="1" customHeight="1">
      <c r="A35" s="103" t="s">
        <v>246</v>
      </c>
      <c r="B35" s="90" t="s">
        <v>247</v>
      </c>
      <c r="C35" s="91" t="s">
        <v>111</v>
      </c>
      <c r="D35" s="92" t="s">
        <v>120</v>
      </c>
      <c r="E35" s="93" t="str">
        <f t="shared" si="0"/>
        <v/>
      </c>
      <c r="F35" s="94"/>
      <c r="G35" s="91"/>
      <c r="H35" s="90" t="str">
        <f t="shared" si="1"/>
        <v/>
      </c>
      <c r="I35" s="90"/>
      <c r="J35" s="102" t="s">
        <v>248</v>
      </c>
      <c r="K35" s="99" t="s">
        <v>249</v>
      </c>
      <c r="L35" s="96" t="s">
        <v>128</v>
      </c>
      <c r="M35" s="101" t="s">
        <v>250</v>
      </c>
      <c r="N35" s="98"/>
      <c r="O35" s="98" t="s">
        <v>111</v>
      </c>
      <c r="P35" s="98" t="s">
        <v>111</v>
      </c>
      <c r="Q35" s="98" t="s">
        <v>111</v>
      </c>
      <c r="R35" s="93" t="s">
        <v>118</v>
      </c>
      <c r="S35" s="93">
        <f>VLOOKUP(B35&amp;D35&amp;R35,[2]Table!$D:$E,2,0)</f>
        <v>2</v>
      </c>
    </row>
    <row r="36" spans="1:19" s="54" customFormat="1" ht="109.35" hidden="1" customHeight="1">
      <c r="A36" s="103" t="s">
        <v>251</v>
      </c>
      <c r="B36" s="90" t="s">
        <v>252</v>
      </c>
      <c r="C36" s="91" t="s">
        <v>111</v>
      </c>
      <c r="D36" s="92" t="s">
        <v>120</v>
      </c>
      <c r="E36" s="93" t="str">
        <f t="shared" si="0"/>
        <v/>
      </c>
      <c r="F36" s="94"/>
      <c r="G36" s="91"/>
      <c r="H36" s="90" t="str">
        <f t="shared" si="1"/>
        <v/>
      </c>
      <c r="I36" s="90"/>
      <c r="J36" s="102" t="s">
        <v>253</v>
      </c>
      <c r="K36" s="99" t="s">
        <v>254</v>
      </c>
      <c r="L36" s="96" t="s">
        <v>128</v>
      </c>
      <c r="M36" s="101" t="s">
        <v>255</v>
      </c>
      <c r="N36" s="98" t="s">
        <v>111</v>
      </c>
      <c r="O36" s="98" t="s">
        <v>111</v>
      </c>
      <c r="P36" s="98" t="s">
        <v>111</v>
      </c>
      <c r="Q36" s="98" t="s">
        <v>111</v>
      </c>
      <c r="R36" s="93" t="s">
        <v>118</v>
      </c>
      <c r="S36" s="93">
        <f>VLOOKUP(B36&amp;D36&amp;R36,[2]Table!$D:$E,2,0)</f>
        <v>2</v>
      </c>
    </row>
    <row r="37" spans="1:19" s="54" customFormat="1" ht="109.35" hidden="1" customHeight="1">
      <c r="A37" s="103" t="s">
        <v>256</v>
      </c>
      <c r="B37" s="90" t="s">
        <v>257</v>
      </c>
      <c r="C37" s="91" t="s">
        <v>111</v>
      </c>
      <c r="D37" s="92" t="s">
        <v>120</v>
      </c>
      <c r="E37" s="93" t="str">
        <f t="shared" si="0"/>
        <v/>
      </c>
      <c r="F37" s="94"/>
      <c r="G37" s="91"/>
      <c r="H37" s="90" t="str">
        <f t="shared" si="1"/>
        <v/>
      </c>
      <c r="I37" s="90"/>
      <c r="J37" s="102" t="s">
        <v>258</v>
      </c>
      <c r="K37" s="99" t="s">
        <v>259</v>
      </c>
      <c r="L37" s="96" t="s">
        <v>128</v>
      </c>
      <c r="M37" s="101" t="s">
        <v>260</v>
      </c>
      <c r="N37" s="98" t="s">
        <v>111</v>
      </c>
      <c r="O37" s="98" t="s">
        <v>111</v>
      </c>
      <c r="P37" s="98" t="s">
        <v>111</v>
      </c>
      <c r="Q37" s="98" t="s">
        <v>111</v>
      </c>
      <c r="R37" s="93" t="s">
        <v>118</v>
      </c>
      <c r="S37" s="93">
        <f>VLOOKUP(B37&amp;D37&amp;R37,[2]Table!$D:$E,2,0)</f>
        <v>2</v>
      </c>
    </row>
    <row r="38" spans="1:19" s="54" customFormat="1" ht="109.35" hidden="1" customHeight="1">
      <c r="A38" s="103" t="s">
        <v>261</v>
      </c>
      <c r="B38" s="90" t="s">
        <v>262</v>
      </c>
      <c r="C38" s="91" t="s">
        <v>111</v>
      </c>
      <c r="D38" s="92" t="s">
        <v>120</v>
      </c>
      <c r="E38" s="93" t="str">
        <f t="shared" si="0"/>
        <v/>
      </c>
      <c r="F38" s="94"/>
      <c r="G38" s="91"/>
      <c r="H38" s="90" t="str">
        <f t="shared" si="1"/>
        <v/>
      </c>
      <c r="I38" s="90"/>
      <c r="J38" s="102" t="s">
        <v>263</v>
      </c>
      <c r="K38" s="99" t="s">
        <v>264</v>
      </c>
      <c r="L38" s="96" t="s">
        <v>128</v>
      </c>
      <c r="M38" s="101" t="s">
        <v>265</v>
      </c>
      <c r="N38" s="98"/>
      <c r="O38" s="98" t="s">
        <v>111</v>
      </c>
      <c r="P38" s="98" t="s">
        <v>111</v>
      </c>
      <c r="Q38" s="98" t="s">
        <v>111</v>
      </c>
      <c r="R38" s="93" t="s">
        <v>118</v>
      </c>
      <c r="S38" s="93">
        <f>VLOOKUP(B38&amp;D38&amp;R38,[2]Table!$D:$E,2,0)</f>
        <v>2</v>
      </c>
    </row>
    <row r="39" spans="1:19" s="54" customFormat="1" ht="109.35" hidden="1" customHeight="1">
      <c r="A39" s="103" t="s">
        <v>266</v>
      </c>
      <c r="B39" s="90" t="s">
        <v>267</v>
      </c>
      <c r="C39" s="91" t="s">
        <v>111</v>
      </c>
      <c r="D39" s="92" t="s">
        <v>120</v>
      </c>
      <c r="E39" s="93" t="str">
        <f t="shared" si="0"/>
        <v/>
      </c>
      <c r="F39" s="94"/>
      <c r="G39" s="91"/>
      <c r="H39" s="90" t="str">
        <f t="shared" si="1"/>
        <v/>
      </c>
      <c r="I39" s="90"/>
      <c r="J39" s="102" t="s">
        <v>268</v>
      </c>
      <c r="K39" s="99" t="s">
        <v>269</v>
      </c>
      <c r="L39" s="96" t="s">
        <v>128</v>
      </c>
      <c r="M39" s="101" t="s">
        <v>270</v>
      </c>
      <c r="N39" s="98"/>
      <c r="O39" s="98" t="s">
        <v>111</v>
      </c>
      <c r="P39" s="98" t="s">
        <v>111</v>
      </c>
      <c r="Q39" s="98" t="s">
        <v>111</v>
      </c>
      <c r="R39" s="93" t="s">
        <v>118</v>
      </c>
      <c r="S39" s="93">
        <f>VLOOKUP(B39&amp;D39&amp;R39,[2]Table!$D:$E,2,0)</f>
        <v>2</v>
      </c>
    </row>
    <row r="40" spans="1:19" s="54" customFormat="1" ht="109.35" customHeight="1">
      <c r="A40" s="103" t="s">
        <v>271</v>
      </c>
      <c r="B40" s="90" t="s">
        <v>272</v>
      </c>
      <c r="C40" s="91" t="s">
        <v>111</v>
      </c>
      <c r="D40" s="92" t="s">
        <v>112</v>
      </c>
      <c r="E40" s="93" t="str">
        <f t="shared" si="0"/>
        <v>X</v>
      </c>
      <c r="F40" s="94"/>
      <c r="G40" s="91"/>
      <c r="H40" s="90" t="str">
        <f t="shared" si="1"/>
        <v/>
      </c>
      <c r="I40" s="90"/>
      <c r="J40" s="102" t="s">
        <v>273</v>
      </c>
      <c r="K40" s="99" t="s">
        <v>274</v>
      </c>
      <c r="L40" s="148" t="s">
        <v>275</v>
      </c>
      <c r="M40" s="101" t="s">
        <v>276</v>
      </c>
      <c r="N40" s="98" t="s">
        <v>111</v>
      </c>
      <c r="O40" s="98" t="s">
        <v>111</v>
      </c>
      <c r="P40" s="98" t="s">
        <v>111</v>
      </c>
      <c r="Q40" s="98" t="s">
        <v>111</v>
      </c>
      <c r="R40" s="93" t="s">
        <v>118</v>
      </c>
      <c r="S40" s="93">
        <f>VLOOKUP(B40&amp;D40&amp;R40,[2]Table!$D:$E,2,0)</f>
        <v>0.5</v>
      </c>
    </row>
    <row r="41" spans="1:19" s="54" customFormat="1" ht="109.35" customHeight="1">
      <c r="A41" s="103" t="s">
        <v>277</v>
      </c>
      <c r="B41" s="90" t="s">
        <v>278</v>
      </c>
      <c r="C41" s="91" t="s">
        <v>111</v>
      </c>
      <c r="D41" s="92" t="s">
        <v>112</v>
      </c>
      <c r="E41" s="93" t="str">
        <f t="shared" si="0"/>
        <v>X</v>
      </c>
      <c r="F41" s="94"/>
      <c r="G41" s="91"/>
      <c r="H41" s="90" t="str">
        <f t="shared" si="1"/>
        <v/>
      </c>
      <c r="I41" s="90"/>
      <c r="J41" s="102" t="s">
        <v>204</v>
      </c>
      <c r="K41" s="99" t="s">
        <v>279</v>
      </c>
      <c r="L41" s="148" t="s">
        <v>419</v>
      </c>
      <c r="M41" s="101" t="s">
        <v>280</v>
      </c>
      <c r="N41" s="98"/>
      <c r="O41" s="98" t="s">
        <v>111</v>
      </c>
      <c r="P41" s="98" t="s">
        <v>111</v>
      </c>
      <c r="Q41" s="98" t="s">
        <v>111</v>
      </c>
      <c r="R41" s="93" t="s">
        <v>118</v>
      </c>
      <c r="S41" s="93">
        <f>VLOOKUP(B41&amp;D41&amp;R41,[2]Table!$D:$E,2,0)</f>
        <v>0.1</v>
      </c>
    </row>
    <row r="42" spans="1:19" s="54" customFormat="1" ht="109.35" hidden="1" customHeight="1">
      <c r="A42" s="103" t="s">
        <v>277</v>
      </c>
      <c r="B42" s="90" t="s">
        <v>281</v>
      </c>
      <c r="C42" s="91" t="s">
        <v>111</v>
      </c>
      <c r="D42" s="92" t="s">
        <v>120</v>
      </c>
      <c r="E42" s="93" t="str">
        <f t="shared" si="0"/>
        <v/>
      </c>
      <c r="F42" s="94"/>
      <c r="G42" s="91"/>
      <c r="H42" s="90" t="str">
        <f t="shared" si="1"/>
        <v/>
      </c>
      <c r="I42" s="90"/>
      <c r="J42" s="102" t="s">
        <v>208</v>
      </c>
      <c r="K42" s="99" t="s">
        <v>282</v>
      </c>
      <c r="L42" s="96" t="s">
        <v>128</v>
      </c>
      <c r="M42" s="101" t="s">
        <v>283</v>
      </c>
      <c r="N42" s="98"/>
      <c r="O42" s="98" t="s">
        <v>111</v>
      </c>
      <c r="P42" s="98" t="s">
        <v>111</v>
      </c>
      <c r="Q42" s="98" t="s">
        <v>111</v>
      </c>
      <c r="R42" s="93" t="s">
        <v>118</v>
      </c>
      <c r="S42" s="93">
        <f>VLOOKUP(B42&amp;D42&amp;R42,[2]Table!$D:$E,2,0)</f>
        <v>0.5</v>
      </c>
    </row>
    <row r="43" spans="1:19" s="54" customFormat="1" ht="109.35" hidden="1" customHeight="1">
      <c r="A43" s="103" t="s">
        <v>284</v>
      </c>
      <c r="B43" s="90" t="s">
        <v>285</v>
      </c>
      <c r="C43" s="91" t="s">
        <v>111</v>
      </c>
      <c r="D43" s="92" t="s">
        <v>120</v>
      </c>
      <c r="E43" s="93" t="str">
        <f t="shared" si="0"/>
        <v/>
      </c>
      <c r="F43" s="94"/>
      <c r="G43" s="91"/>
      <c r="H43" s="90" t="str">
        <f t="shared" si="1"/>
        <v/>
      </c>
      <c r="I43" s="90"/>
      <c r="J43" s="102" t="s">
        <v>213</v>
      </c>
      <c r="K43" s="90" t="s">
        <v>286</v>
      </c>
      <c r="L43" s="96" t="s">
        <v>128</v>
      </c>
      <c r="M43" s="101" t="s">
        <v>215</v>
      </c>
      <c r="N43" s="98"/>
      <c r="O43" s="98" t="s">
        <v>111</v>
      </c>
      <c r="P43" s="98" t="s">
        <v>111</v>
      </c>
      <c r="Q43" s="98" t="s">
        <v>111</v>
      </c>
      <c r="R43" s="93" t="s">
        <v>118</v>
      </c>
      <c r="S43" s="93">
        <f>VLOOKUP(B43&amp;D43&amp;R43,[2]Table!$D:$E,2,0)</f>
        <v>0.5</v>
      </c>
    </row>
    <row r="44" spans="1:19" s="54" customFormat="1" ht="109.35" hidden="1" customHeight="1">
      <c r="A44" s="103" t="s">
        <v>284</v>
      </c>
      <c r="B44" s="90" t="s">
        <v>287</v>
      </c>
      <c r="C44" s="91" t="s">
        <v>111</v>
      </c>
      <c r="D44" s="92" t="s">
        <v>120</v>
      </c>
      <c r="E44" s="93" t="str">
        <f t="shared" si="0"/>
        <v/>
      </c>
      <c r="F44" s="94"/>
      <c r="G44" s="91"/>
      <c r="H44" s="90" t="str">
        <f t="shared" si="1"/>
        <v/>
      </c>
      <c r="I44" s="90"/>
      <c r="J44" s="102" t="s">
        <v>217</v>
      </c>
      <c r="K44" s="99" t="s">
        <v>288</v>
      </c>
      <c r="L44" s="96" t="s">
        <v>128</v>
      </c>
      <c r="M44" s="101" t="s">
        <v>289</v>
      </c>
      <c r="N44" s="98" t="s">
        <v>111</v>
      </c>
      <c r="O44" s="98" t="s">
        <v>111</v>
      </c>
      <c r="P44" s="98" t="s">
        <v>111</v>
      </c>
      <c r="Q44" s="98" t="s">
        <v>111</v>
      </c>
      <c r="R44" s="93" t="s">
        <v>118</v>
      </c>
      <c r="S44" s="93">
        <f>VLOOKUP(B44&amp;D44&amp;R44,[2]Table!$D:$E,2,0)</f>
        <v>0.5</v>
      </c>
    </row>
    <row r="45" spans="1:19" s="54" customFormat="1" ht="109.35" hidden="1" customHeight="1">
      <c r="A45" s="103" t="s">
        <v>284</v>
      </c>
      <c r="B45" s="90" t="s">
        <v>290</v>
      </c>
      <c r="C45" s="91" t="s">
        <v>111</v>
      </c>
      <c r="D45" s="92" t="s">
        <v>120</v>
      </c>
      <c r="E45" s="93" t="str">
        <f t="shared" si="0"/>
        <v/>
      </c>
      <c r="F45" s="94"/>
      <c r="G45" s="91"/>
      <c r="H45" s="90" t="str">
        <f t="shared" si="1"/>
        <v/>
      </c>
      <c r="I45" s="90"/>
      <c r="J45" s="102" t="s">
        <v>221</v>
      </c>
      <c r="K45" s="99" t="s">
        <v>291</v>
      </c>
      <c r="L45" s="96" t="s">
        <v>128</v>
      </c>
      <c r="M45" s="101" t="s">
        <v>223</v>
      </c>
      <c r="N45" s="98"/>
      <c r="O45" s="98" t="s">
        <v>111</v>
      </c>
      <c r="P45" s="98" t="s">
        <v>111</v>
      </c>
      <c r="Q45" s="98" t="s">
        <v>111</v>
      </c>
      <c r="R45" s="93" t="s">
        <v>118</v>
      </c>
      <c r="S45" s="93">
        <f>VLOOKUP(B45&amp;D45&amp;R45,[2]Table!$D:$E,2,0)</f>
        <v>0.5</v>
      </c>
    </row>
    <row r="46" spans="1:19" s="54" customFormat="1" ht="109.35" hidden="1" customHeight="1">
      <c r="A46" s="103" t="s">
        <v>292</v>
      </c>
      <c r="B46" s="90" t="s">
        <v>293</v>
      </c>
      <c r="C46" s="91" t="s">
        <v>111</v>
      </c>
      <c r="D46" s="92" t="s">
        <v>120</v>
      </c>
      <c r="E46" s="93" t="str">
        <f t="shared" si="0"/>
        <v/>
      </c>
      <c r="F46" s="94"/>
      <c r="G46" s="91"/>
      <c r="H46" s="90" t="str">
        <f t="shared" si="1"/>
        <v/>
      </c>
      <c r="I46" s="90"/>
      <c r="J46" s="102" t="s">
        <v>226</v>
      </c>
      <c r="K46" s="99" t="s">
        <v>294</v>
      </c>
      <c r="L46" s="96" t="s">
        <v>128</v>
      </c>
      <c r="M46" s="101" t="s">
        <v>228</v>
      </c>
      <c r="N46" s="98" t="s">
        <v>111</v>
      </c>
      <c r="O46" s="98" t="s">
        <v>111</v>
      </c>
      <c r="P46" s="98" t="s">
        <v>111</v>
      </c>
      <c r="Q46" s="98" t="s">
        <v>111</v>
      </c>
      <c r="R46" s="93" t="s">
        <v>118</v>
      </c>
      <c r="S46" s="93">
        <f>VLOOKUP(B46&amp;D46&amp;R46,[2]Table!$D:$E,2,0)</f>
        <v>0.5</v>
      </c>
    </row>
    <row r="47" spans="1:19" s="54" customFormat="1" ht="109.35" hidden="1" customHeight="1">
      <c r="A47" s="103" t="s">
        <v>292</v>
      </c>
      <c r="B47" s="90" t="s">
        <v>295</v>
      </c>
      <c r="C47" s="91" t="s">
        <v>111</v>
      </c>
      <c r="D47" s="92" t="s">
        <v>120</v>
      </c>
      <c r="E47" s="93" t="str">
        <f t="shared" si="0"/>
        <v/>
      </c>
      <c r="F47" s="94"/>
      <c r="G47" s="91"/>
      <c r="H47" s="90" t="str">
        <f t="shared" si="1"/>
        <v/>
      </c>
      <c r="I47" s="90"/>
      <c r="J47" s="102" t="s">
        <v>230</v>
      </c>
      <c r="K47" s="104" t="s">
        <v>296</v>
      </c>
      <c r="L47" s="96" t="s">
        <v>128</v>
      </c>
      <c r="M47" s="101" t="s">
        <v>297</v>
      </c>
      <c r="N47" s="98" t="s">
        <v>111</v>
      </c>
      <c r="O47" s="98" t="s">
        <v>111</v>
      </c>
      <c r="P47" s="98" t="s">
        <v>111</v>
      </c>
      <c r="Q47" s="98" t="s">
        <v>111</v>
      </c>
      <c r="R47" s="93" t="s">
        <v>118</v>
      </c>
      <c r="S47" s="93">
        <f>VLOOKUP(B47&amp;D47&amp;R47,[2]Table!$D:$E,2,0)</f>
        <v>0.5</v>
      </c>
    </row>
    <row r="48" spans="1:19" s="53" customFormat="1" ht="109.35" hidden="1" customHeight="1">
      <c r="A48" s="103" t="s">
        <v>298</v>
      </c>
      <c r="B48" s="90" t="s">
        <v>299</v>
      </c>
      <c r="C48" s="91" t="s">
        <v>111</v>
      </c>
      <c r="D48" s="92" t="s">
        <v>120</v>
      </c>
      <c r="E48" s="93" t="str">
        <f t="shared" si="0"/>
        <v/>
      </c>
      <c r="F48" s="93"/>
      <c r="G48" s="91"/>
      <c r="H48" s="90" t="str">
        <f t="shared" si="1"/>
        <v/>
      </c>
      <c r="I48" s="90"/>
      <c r="J48" s="102" t="s">
        <v>235</v>
      </c>
      <c r="K48" s="104" t="s">
        <v>300</v>
      </c>
      <c r="L48" s="96" t="s">
        <v>128</v>
      </c>
      <c r="M48" s="101" t="s">
        <v>237</v>
      </c>
      <c r="N48" s="105"/>
      <c r="O48" s="105" t="s">
        <v>111</v>
      </c>
      <c r="P48" s="105" t="s">
        <v>111</v>
      </c>
      <c r="Q48" s="105" t="s">
        <v>111</v>
      </c>
      <c r="R48" s="106" t="s">
        <v>118</v>
      </c>
      <c r="S48" s="106">
        <f>VLOOKUP(B48&amp;D48&amp;R48,[2]Table!$D:$E,2,0)</f>
        <v>0.5</v>
      </c>
    </row>
    <row r="49" spans="1:19" s="53" customFormat="1" ht="109.35" hidden="1" customHeight="1">
      <c r="A49" s="103" t="s">
        <v>298</v>
      </c>
      <c r="B49" s="90" t="s">
        <v>301</v>
      </c>
      <c r="C49" s="91" t="s">
        <v>111</v>
      </c>
      <c r="D49" s="92" t="s">
        <v>120</v>
      </c>
      <c r="E49" s="93" t="str">
        <f t="shared" si="0"/>
        <v/>
      </c>
      <c r="F49" s="93"/>
      <c r="G49" s="91"/>
      <c r="H49" s="90" t="str">
        <f t="shared" si="1"/>
        <v/>
      </c>
      <c r="I49" s="90"/>
      <c r="J49" s="102" t="s">
        <v>239</v>
      </c>
      <c r="K49" s="104" t="s">
        <v>302</v>
      </c>
      <c r="L49" s="96" t="s">
        <v>128</v>
      </c>
      <c r="M49" s="101" t="s">
        <v>303</v>
      </c>
      <c r="N49" s="107"/>
      <c r="O49" s="107" t="s">
        <v>111</v>
      </c>
      <c r="P49" s="107" t="s">
        <v>111</v>
      </c>
      <c r="Q49" s="107"/>
      <c r="R49" s="93" t="s">
        <v>118</v>
      </c>
      <c r="S49" s="93">
        <f>VLOOKUP(B49&amp;D49&amp;R49,[2]Table!$D:$E,2,0)</f>
        <v>0.5</v>
      </c>
    </row>
    <row r="50" spans="1:19" s="52" customFormat="1" ht="109.35" hidden="1" customHeight="1">
      <c r="A50" s="103" t="s">
        <v>298</v>
      </c>
      <c r="B50" s="93" t="s">
        <v>304</v>
      </c>
      <c r="C50" s="91" t="s">
        <v>111</v>
      </c>
      <c r="D50" s="92" t="s">
        <v>120</v>
      </c>
      <c r="E50" s="93" t="str">
        <f t="shared" si="0"/>
        <v/>
      </c>
      <c r="F50" s="93"/>
      <c r="G50" s="93"/>
      <c r="H50" s="90" t="str">
        <f t="shared" si="1"/>
        <v/>
      </c>
      <c r="I50" s="93"/>
      <c r="J50" s="102" t="s">
        <v>243</v>
      </c>
      <c r="K50" s="108" t="s">
        <v>305</v>
      </c>
      <c r="L50" s="96" t="s">
        <v>128</v>
      </c>
      <c r="M50" s="101" t="s">
        <v>306</v>
      </c>
      <c r="N50" s="107"/>
      <c r="O50" s="107" t="s">
        <v>111</v>
      </c>
      <c r="P50" s="107" t="s">
        <v>111</v>
      </c>
      <c r="Q50" s="107" t="s">
        <v>111</v>
      </c>
      <c r="R50" s="93" t="s">
        <v>118</v>
      </c>
      <c r="S50" s="93">
        <f>VLOOKUP(B50&amp;D50&amp;R50,[2]Table!$D:$E,2,0)</f>
        <v>0.5</v>
      </c>
    </row>
    <row r="51" spans="1:19" ht="109.35" hidden="1" customHeight="1">
      <c r="A51" s="109" t="s">
        <v>307</v>
      </c>
      <c r="B51" s="110" t="s">
        <v>308</v>
      </c>
      <c r="C51" s="91" t="s">
        <v>111</v>
      </c>
      <c r="D51" s="92" t="s">
        <v>120</v>
      </c>
      <c r="E51" s="93" t="str">
        <f t="shared" si="0"/>
        <v/>
      </c>
      <c r="F51" s="110"/>
      <c r="G51" s="110"/>
      <c r="H51" s="90" t="str">
        <f t="shared" si="1"/>
        <v/>
      </c>
      <c r="I51" s="110"/>
      <c r="J51" s="111" t="s">
        <v>309</v>
      </c>
      <c r="K51" s="112" t="s">
        <v>310</v>
      </c>
      <c r="L51" s="96" t="s">
        <v>128</v>
      </c>
      <c r="M51" s="101" t="s">
        <v>311</v>
      </c>
      <c r="N51" s="107" t="s">
        <v>111</v>
      </c>
      <c r="O51" s="107" t="s">
        <v>111</v>
      </c>
      <c r="P51" s="107" t="s">
        <v>111</v>
      </c>
      <c r="Q51" s="107" t="s">
        <v>111</v>
      </c>
      <c r="R51" s="93" t="s">
        <v>118</v>
      </c>
      <c r="S51" s="93">
        <f>VLOOKUP(B51&amp;D51&amp;R51,[2]Table!$D:$E,2,0)</f>
        <v>1</v>
      </c>
    </row>
    <row r="52" spans="1:19" ht="109.35" hidden="1" customHeight="1">
      <c r="A52" s="109" t="s">
        <v>312</v>
      </c>
      <c r="B52" s="110" t="s">
        <v>313</v>
      </c>
      <c r="C52" s="91" t="s">
        <v>111</v>
      </c>
      <c r="D52" s="92" t="s">
        <v>120</v>
      </c>
      <c r="E52" s="93" t="str">
        <f t="shared" si="0"/>
        <v/>
      </c>
      <c r="F52" s="110"/>
      <c r="G52" s="110"/>
      <c r="H52" s="90" t="str">
        <f t="shared" si="1"/>
        <v/>
      </c>
      <c r="I52" s="110"/>
      <c r="J52" s="111" t="s">
        <v>314</v>
      </c>
      <c r="K52" s="112" t="s">
        <v>315</v>
      </c>
      <c r="L52" s="96" t="s">
        <v>128</v>
      </c>
      <c r="M52" s="101" t="s">
        <v>316</v>
      </c>
      <c r="N52" s="113"/>
      <c r="O52" s="107" t="s">
        <v>111</v>
      </c>
      <c r="P52" s="107" t="s">
        <v>111</v>
      </c>
      <c r="Q52" s="113"/>
      <c r="R52" s="93" t="s">
        <v>118</v>
      </c>
      <c r="S52" s="93">
        <f>VLOOKUP(B52&amp;D52&amp;R52,[2]Table!$D:$E,2,0)</f>
        <v>1</v>
      </c>
    </row>
    <row r="53" spans="1:19" ht="109.35" hidden="1" customHeight="1">
      <c r="A53" s="109" t="s">
        <v>317</v>
      </c>
      <c r="B53" s="110" t="s">
        <v>318</v>
      </c>
      <c r="C53" s="91" t="s">
        <v>111</v>
      </c>
      <c r="D53" s="92" t="s">
        <v>120</v>
      </c>
      <c r="E53" s="93" t="str">
        <f t="shared" si="0"/>
        <v/>
      </c>
      <c r="F53" s="110"/>
      <c r="G53" s="110"/>
      <c r="H53" s="90" t="str">
        <f t="shared" si="1"/>
        <v/>
      </c>
      <c r="I53" s="110"/>
      <c r="J53" s="111" t="s">
        <v>319</v>
      </c>
      <c r="K53" s="112" t="s">
        <v>320</v>
      </c>
      <c r="L53" s="96" t="s">
        <v>128</v>
      </c>
      <c r="M53" s="101" t="s">
        <v>321</v>
      </c>
      <c r="N53" s="113"/>
      <c r="O53" s="107" t="s">
        <v>111</v>
      </c>
      <c r="P53" s="107" t="s">
        <v>111</v>
      </c>
      <c r="Q53" s="107" t="s">
        <v>111</v>
      </c>
      <c r="R53" s="93" t="s">
        <v>118</v>
      </c>
      <c r="S53" s="93">
        <f>VLOOKUP(B53&amp;D53&amp;R53,[2]Table!$D:$E,2,0)</f>
        <v>1</v>
      </c>
    </row>
    <row r="54" spans="1:19" ht="109.35" hidden="1" customHeight="1">
      <c r="A54" s="109" t="s">
        <v>322</v>
      </c>
      <c r="B54" s="110" t="s">
        <v>323</v>
      </c>
      <c r="C54" s="91" t="s">
        <v>111</v>
      </c>
      <c r="D54" s="92" t="s">
        <v>120</v>
      </c>
      <c r="E54" s="93" t="str">
        <f t="shared" si="0"/>
        <v/>
      </c>
      <c r="F54" s="110"/>
      <c r="G54" s="110"/>
      <c r="H54" s="90" t="str">
        <f t="shared" si="1"/>
        <v/>
      </c>
      <c r="I54" s="110"/>
      <c r="J54" s="111" t="s">
        <v>324</v>
      </c>
      <c r="K54" s="112" t="s">
        <v>325</v>
      </c>
      <c r="L54" s="96" t="s">
        <v>128</v>
      </c>
      <c r="M54" s="101" t="s">
        <v>326</v>
      </c>
      <c r="N54" s="113"/>
      <c r="O54" s="107" t="s">
        <v>111</v>
      </c>
      <c r="P54" s="107" t="s">
        <v>111</v>
      </c>
      <c r="Q54" s="107" t="s">
        <v>111</v>
      </c>
      <c r="R54" s="93" t="s">
        <v>118</v>
      </c>
      <c r="S54" s="93">
        <f>VLOOKUP(B54&amp;D54&amp;R54,[2]Table!$D:$E,2,0)</f>
        <v>2</v>
      </c>
    </row>
    <row r="55" spans="1:19" ht="109.35" hidden="1" customHeight="1">
      <c r="A55" s="109" t="s">
        <v>322</v>
      </c>
      <c r="B55" s="110" t="s">
        <v>327</v>
      </c>
      <c r="C55" s="91" t="s">
        <v>111</v>
      </c>
      <c r="D55" s="92" t="s">
        <v>120</v>
      </c>
      <c r="E55" s="93" t="str">
        <f t="shared" si="0"/>
        <v/>
      </c>
      <c r="F55" s="110"/>
      <c r="G55" s="110"/>
      <c r="H55" s="90" t="str">
        <f t="shared" si="1"/>
        <v/>
      </c>
      <c r="I55" s="110"/>
      <c r="J55" s="111" t="s">
        <v>328</v>
      </c>
      <c r="K55" s="112" t="s">
        <v>329</v>
      </c>
      <c r="L55" s="96" t="s">
        <v>128</v>
      </c>
      <c r="M55" s="101" t="s">
        <v>330</v>
      </c>
      <c r="N55" s="113"/>
      <c r="O55" s="107" t="s">
        <v>111</v>
      </c>
      <c r="P55" s="107" t="s">
        <v>111</v>
      </c>
      <c r="Q55" s="107" t="s">
        <v>111</v>
      </c>
      <c r="R55" s="93" t="s">
        <v>118</v>
      </c>
      <c r="S55" s="93">
        <f>VLOOKUP(B55&amp;D55&amp;R55,[2]Table!$D:$E,2,0)</f>
        <v>1</v>
      </c>
    </row>
    <row r="56" spans="1:19" ht="171" customHeight="1">
      <c r="A56" s="109" t="s">
        <v>322</v>
      </c>
      <c r="B56" s="110" t="s">
        <v>331</v>
      </c>
      <c r="C56" s="91" t="s">
        <v>111</v>
      </c>
      <c r="D56" s="92" t="s">
        <v>185</v>
      </c>
      <c r="E56" s="93" t="str">
        <f t="shared" si="0"/>
        <v>X</v>
      </c>
      <c r="F56" s="110"/>
      <c r="G56" s="110"/>
      <c r="H56" s="90" t="str">
        <f t="shared" si="1"/>
        <v/>
      </c>
      <c r="I56" s="110"/>
      <c r="J56" s="111" t="s">
        <v>332</v>
      </c>
      <c r="K56" s="112" t="s">
        <v>333</v>
      </c>
      <c r="L56" s="148" t="s">
        <v>418</v>
      </c>
      <c r="M56" s="101" t="s">
        <v>334</v>
      </c>
      <c r="N56" s="113"/>
      <c r="O56" s="107" t="s">
        <v>111</v>
      </c>
      <c r="P56" s="107" t="s">
        <v>111</v>
      </c>
      <c r="Q56" s="107" t="s">
        <v>111</v>
      </c>
      <c r="R56" s="93" t="s">
        <v>118</v>
      </c>
      <c r="S56" s="93">
        <f>VLOOKUP(B56&amp;D56&amp;R56,[2]Table!$D:$E,2,0)</f>
        <v>1</v>
      </c>
    </row>
    <row r="57" spans="1:19" ht="171" hidden="1" customHeight="1">
      <c r="A57" s="109" t="s">
        <v>322</v>
      </c>
      <c r="B57" s="110" t="s">
        <v>335</v>
      </c>
      <c r="C57" s="91" t="s">
        <v>111</v>
      </c>
      <c r="D57" s="92" t="s">
        <v>120</v>
      </c>
      <c r="E57" s="93" t="str">
        <f t="shared" si="0"/>
        <v/>
      </c>
      <c r="F57" s="110"/>
      <c r="G57" s="110"/>
      <c r="H57" s="90" t="str">
        <f t="shared" si="1"/>
        <v/>
      </c>
      <c r="I57" s="110"/>
      <c r="J57" s="95" t="s">
        <v>336</v>
      </c>
      <c r="K57" s="112" t="s">
        <v>337</v>
      </c>
      <c r="L57" s="96" t="s">
        <v>128</v>
      </c>
      <c r="M57" s="101" t="s">
        <v>338</v>
      </c>
      <c r="N57" s="113"/>
      <c r="O57" s="107" t="s">
        <v>111</v>
      </c>
      <c r="P57" s="107" t="s">
        <v>111</v>
      </c>
      <c r="Q57" s="107" t="s">
        <v>111</v>
      </c>
      <c r="R57" s="93" t="s">
        <v>118</v>
      </c>
      <c r="S57" s="93">
        <f>VLOOKUP(B57&amp;D57&amp;R57,[2]Table!$D:$E,2,0)</f>
        <v>2</v>
      </c>
    </row>
  </sheetData>
  <autoFilter ref="A5:S57" xr:uid="{00000000-0009-0000-0000-000002000000}">
    <filterColumn colId="3">
      <filters>
        <filter val="Major"/>
        <filter val="Minor"/>
      </filters>
    </filterColumn>
    <sortState xmlns:xlrd2="http://schemas.microsoft.com/office/spreadsheetml/2017/richdata2" ref="A5:S57">
      <sortCondition ref="B5:B57"/>
    </sortState>
  </autoFilter>
  <conditionalFormatting sqref="D6:D57">
    <cfRule type="cellIs" dxfId="6" priority="1" operator="equal">
      <formula>"conformance"</formula>
    </cfRule>
    <cfRule type="cellIs" dxfId="5" priority="2" operator="equal">
      <formula>"minor"</formula>
    </cfRule>
    <cfRule type="cellIs" dxfId="4" priority="3" operator="equal">
      <formula>"Risk of nonconformance"</formula>
    </cfRule>
    <cfRule type="cellIs" dxfId="3" priority="4" operator="equal">
      <formula>"Major"</formula>
    </cfRule>
    <cfRule type="cellIs" dxfId="2" priority="5" operator="equal">
      <formula>"Priority"</formula>
    </cfRule>
    <cfRule type="containsText" dxfId="1" priority="6" operator="containsText" text="Not Reviewed">
      <formula>NOT(ISERROR(SEARCH("Not Reviewed",D6)))</formula>
    </cfRule>
    <cfRule type="cellIs" dxfId="0" priority="7" operator="equal">
      <formula>"Out of Scope"</formula>
    </cfRule>
  </conditionalFormatting>
  <dataValidations count="8">
    <dataValidation type="list" allowBlank="1" showInputMessage="1" showErrorMessage="1" sqref="D6" xr:uid="{00000000-0002-0000-0200-000000000000}">
      <formula1>"Conformance,Priority, Major, Minor"</formula1>
    </dataValidation>
    <dataValidation type="list" allowBlank="1" showInputMessage="1" showErrorMessage="1" sqref="D7" xr:uid="{00000000-0002-0000-0200-000001000000}">
      <formula1>"Conformance,Priority,Major,Minor"</formula1>
    </dataValidation>
    <dataValidation type="list" allowBlank="1" showInputMessage="1" showErrorMessage="1" sqref="D10" xr:uid="{00000000-0002-0000-0200-000002000000}">
      <formula1>"Conformance, Priority, Major, Minor, N/A"</formula1>
    </dataValidation>
    <dataValidation type="list" allowBlank="1" showInputMessage="1" showErrorMessage="1" sqref="D11 D54:D55" xr:uid="{00000000-0002-0000-0200-000003000000}">
      <formula1>"Conformance, Major, Minor, N/A"</formula1>
    </dataValidation>
    <dataValidation type="list" allowBlank="1" showInputMessage="1" showErrorMessage="1" sqref="D17 D53 D56:D57" xr:uid="{00000000-0002-0000-0200-000004000000}">
      <formula1>"Conformance, Priority, Major, Minor, N/A, Risk"</formula1>
    </dataValidation>
    <dataValidation type="list" allowBlank="1" showInputMessage="1" showErrorMessage="1" sqref="D38 D22:D24 D32:D34 D48:D51" xr:uid="{00000000-0002-0000-0200-000005000000}">
      <formula1>"Conformance, Major, Minor"</formula1>
    </dataValidation>
    <dataValidation type="list" allowBlank="1" showInputMessage="1" showErrorMessage="1" sqref="D52 D8:D9 D12:D16 D18:D21 D25:D31 D35:D37 D39:D47" xr:uid="{00000000-0002-0000-0200-000006000000}">
      <formula1>"Conformance, Priority, Major, Minor"</formula1>
    </dataValidation>
    <dataValidation type="textLength" operator="lessThan" allowBlank="1" showInputMessage="1" showErrorMessage="1" sqref="L6:L57" xr:uid="{00000000-0002-0000-0200-000007000000}">
      <formula1>2500</formula1>
    </dataValidation>
  </dataValidations>
  <printOptions horizontalCentered="1"/>
  <pageMargins left="0.5" right="0.5" top="0.5" bottom="0.5" header="0" footer="0"/>
  <pageSetup paperSize="9" scale="75"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2"/>
  <sheetViews>
    <sheetView showGridLines="0" workbookViewId="0">
      <selection activeCell="D28" sqref="D28"/>
    </sheetView>
  </sheetViews>
  <sheetFormatPr defaultColWidth="9" defaultRowHeight="14.4"/>
  <cols>
    <col min="1" max="1" width="1.109375" customWidth="1"/>
    <col min="2" max="2" width="13.33203125" customWidth="1"/>
    <col min="3" max="3" width="56.6640625" customWidth="1"/>
    <col min="4" max="4" width="22.44140625" customWidth="1"/>
    <col min="5" max="5" width="23.6640625" customWidth="1"/>
    <col min="6" max="6" width="26.33203125" customWidth="1"/>
    <col min="7" max="7" width="24.88671875" customWidth="1"/>
    <col min="8" max="8" width="18" customWidth="1"/>
    <col min="9" max="9" width="15.6640625" customWidth="1"/>
  </cols>
  <sheetData>
    <row r="1" spans="2:9">
      <c r="B1" s="10" t="s">
        <v>92</v>
      </c>
      <c r="C1" s="184" t="s">
        <v>339</v>
      </c>
      <c r="D1" s="185"/>
      <c r="E1" s="185"/>
      <c r="F1" s="185"/>
      <c r="G1" s="185"/>
      <c r="H1" s="185"/>
      <c r="I1" s="186"/>
    </row>
    <row r="2" spans="2:9" ht="24.75" customHeight="1">
      <c r="B2" s="179" t="s">
        <v>110</v>
      </c>
      <c r="C2" s="187" t="s">
        <v>340</v>
      </c>
      <c r="D2" s="188"/>
      <c r="E2" s="188"/>
      <c r="F2" s="188"/>
      <c r="G2" s="11"/>
      <c r="H2" s="12"/>
      <c r="I2" s="13"/>
    </row>
    <row r="3" spans="2:9" ht="39.6">
      <c r="B3" s="180"/>
      <c r="C3" s="14" t="s">
        <v>341</v>
      </c>
      <c r="D3" s="15" t="s">
        <v>342</v>
      </c>
      <c r="E3" s="15" t="s">
        <v>343</v>
      </c>
      <c r="F3" s="15" t="s">
        <v>344</v>
      </c>
      <c r="G3" s="15" t="s">
        <v>345</v>
      </c>
      <c r="H3" s="16"/>
      <c r="I3" s="17"/>
    </row>
    <row r="4" spans="2:9">
      <c r="B4" s="180"/>
      <c r="C4" s="18" t="s">
        <v>346</v>
      </c>
      <c r="D4" s="19" t="s">
        <v>185</v>
      </c>
      <c r="E4" s="19" t="s">
        <v>185</v>
      </c>
      <c r="F4" s="20" t="s">
        <v>112</v>
      </c>
      <c r="G4" s="21" t="s">
        <v>114</v>
      </c>
      <c r="H4" s="22"/>
      <c r="I4" s="23"/>
    </row>
    <row r="5" spans="2:9">
      <c r="B5" s="180"/>
      <c r="C5" s="18" t="s">
        <v>347</v>
      </c>
      <c r="D5" s="20" t="s">
        <v>112</v>
      </c>
      <c r="E5" s="20" t="s">
        <v>112</v>
      </c>
      <c r="F5" s="20" t="s">
        <v>112</v>
      </c>
      <c r="G5" s="21" t="s">
        <v>114</v>
      </c>
      <c r="H5" s="22"/>
      <c r="I5" s="23"/>
    </row>
    <row r="6" spans="2:9">
      <c r="B6" s="180"/>
      <c r="C6" s="18" t="s">
        <v>348</v>
      </c>
      <c r="D6" s="20" t="s">
        <v>112</v>
      </c>
      <c r="E6" s="20" t="s">
        <v>112</v>
      </c>
      <c r="F6" s="21" t="s">
        <v>114</v>
      </c>
      <c r="G6" s="21" t="s">
        <v>114</v>
      </c>
      <c r="H6" s="22"/>
      <c r="I6" s="23"/>
    </row>
    <row r="7" spans="2:9">
      <c r="B7" s="180"/>
      <c r="C7" s="18" t="s">
        <v>349</v>
      </c>
      <c r="D7" s="20" t="s">
        <v>112</v>
      </c>
      <c r="E7" s="21" t="s">
        <v>114</v>
      </c>
      <c r="F7" s="21" t="s">
        <v>114</v>
      </c>
      <c r="G7" s="21" t="s">
        <v>114</v>
      </c>
      <c r="H7" s="22"/>
      <c r="I7" s="23"/>
    </row>
    <row r="8" spans="2:9">
      <c r="B8" s="24"/>
      <c r="C8" s="25"/>
      <c r="D8" s="26"/>
      <c r="E8" s="26"/>
      <c r="F8" s="26"/>
      <c r="G8" s="27"/>
      <c r="H8" s="27"/>
      <c r="I8" s="28"/>
    </row>
    <row r="9" spans="2:9" ht="15.6">
      <c r="B9" s="181" t="s">
        <v>144</v>
      </c>
      <c r="C9" s="29" t="s">
        <v>350</v>
      </c>
      <c r="D9" s="30" t="s">
        <v>351</v>
      </c>
      <c r="E9" s="30" t="s">
        <v>352</v>
      </c>
      <c r="F9" s="30" t="s">
        <v>353</v>
      </c>
      <c r="G9" s="30" t="s">
        <v>354</v>
      </c>
      <c r="H9" s="30" t="s">
        <v>355</v>
      </c>
      <c r="I9" s="31" t="s">
        <v>356</v>
      </c>
    </row>
    <row r="10" spans="2:9" ht="24">
      <c r="B10" s="182"/>
      <c r="C10" s="32" t="s">
        <v>357</v>
      </c>
      <c r="D10" s="189" t="s">
        <v>114</v>
      </c>
      <c r="E10" s="190"/>
      <c r="F10" s="190"/>
      <c r="G10" s="190"/>
      <c r="H10" s="191"/>
      <c r="I10" s="33" t="s">
        <v>358</v>
      </c>
    </row>
    <row r="11" spans="2:9" ht="15.6">
      <c r="B11" s="182"/>
      <c r="C11" s="32" t="s">
        <v>359</v>
      </c>
      <c r="D11" s="34" t="s">
        <v>120</v>
      </c>
      <c r="E11" s="35" t="s">
        <v>185</v>
      </c>
      <c r="F11" s="36" t="s">
        <v>112</v>
      </c>
      <c r="G11" s="37" t="s">
        <v>114</v>
      </c>
      <c r="H11" s="37" t="s">
        <v>114</v>
      </c>
      <c r="I11" s="38"/>
    </row>
    <row r="12" spans="2:9" ht="22.8">
      <c r="B12" s="182"/>
      <c r="C12" s="32" t="s">
        <v>360</v>
      </c>
      <c r="D12" s="34" t="s">
        <v>120</v>
      </c>
      <c r="E12" s="34" t="s">
        <v>120</v>
      </c>
      <c r="F12" s="35" t="s">
        <v>185</v>
      </c>
      <c r="G12" s="36" t="s">
        <v>112</v>
      </c>
      <c r="H12" s="37" t="s">
        <v>114</v>
      </c>
      <c r="I12" s="39"/>
    </row>
    <row r="13" spans="2:9" ht="22.8">
      <c r="B13" s="182"/>
      <c r="C13" s="32" t="s">
        <v>361</v>
      </c>
      <c r="D13" s="34" t="s">
        <v>120</v>
      </c>
      <c r="E13" s="34" t="s">
        <v>120</v>
      </c>
      <c r="F13" s="35" t="s">
        <v>185</v>
      </c>
      <c r="G13" s="35" t="s">
        <v>185</v>
      </c>
      <c r="H13" s="36" t="s">
        <v>112</v>
      </c>
      <c r="I13" s="39"/>
    </row>
    <row r="14" spans="2:9" ht="16.5" customHeight="1">
      <c r="B14" s="179"/>
      <c r="C14" s="32" t="s">
        <v>362</v>
      </c>
      <c r="D14" s="192" t="s">
        <v>120</v>
      </c>
      <c r="E14" s="193"/>
      <c r="F14" s="193"/>
      <c r="G14" s="193"/>
      <c r="H14" s="194"/>
      <c r="I14" s="39"/>
    </row>
    <row r="15" spans="2:9">
      <c r="B15" s="40"/>
      <c r="C15" s="11"/>
      <c r="D15" s="11"/>
      <c r="E15" s="11"/>
      <c r="F15" s="11"/>
      <c r="G15" s="11"/>
      <c r="H15" s="11"/>
      <c r="I15" s="28"/>
    </row>
    <row r="16" spans="2:9" ht="15.6">
      <c r="B16" s="181" t="s">
        <v>148</v>
      </c>
      <c r="C16" s="41" t="s">
        <v>363</v>
      </c>
      <c r="D16" s="30" t="s">
        <v>364</v>
      </c>
      <c r="E16" s="30" t="s">
        <v>365</v>
      </c>
      <c r="F16" s="30" t="s">
        <v>366</v>
      </c>
      <c r="G16" s="30" t="s">
        <v>349</v>
      </c>
      <c r="H16" s="42"/>
      <c r="I16" s="28"/>
    </row>
    <row r="17" spans="2:9" ht="15.6">
      <c r="B17" s="182"/>
      <c r="C17" s="43" t="s">
        <v>367</v>
      </c>
      <c r="D17" s="195" t="s">
        <v>114</v>
      </c>
      <c r="E17" s="190"/>
      <c r="F17" s="190"/>
      <c r="G17" s="196"/>
      <c r="H17" s="42"/>
      <c r="I17" s="28"/>
    </row>
    <row r="18" spans="2:9" ht="15.6">
      <c r="B18" s="182"/>
      <c r="C18" s="43" t="s">
        <v>368</v>
      </c>
      <c r="D18" s="35" t="s">
        <v>185</v>
      </c>
      <c r="E18" s="35" t="s">
        <v>185</v>
      </c>
      <c r="F18" s="36" t="s">
        <v>112</v>
      </c>
      <c r="G18" s="37" t="s">
        <v>114</v>
      </c>
      <c r="H18" s="42"/>
      <c r="I18" s="28"/>
    </row>
    <row r="19" spans="2:9" ht="15.6">
      <c r="B19" s="182"/>
      <c r="C19" s="44" t="s">
        <v>369</v>
      </c>
      <c r="D19" s="45" t="s">
        <v>120</v>
      </c>
      <c r="E19" s="46" t="s">
        <v>185</v>
      </c>
      <c r="F19" s="46" t="s">
        <v>185</v>
      </c>
      <c r="G19" s="47" t="s">
        <v>112</v>
      </c>
      <c r="H19" s="42"/>
      <c r="I19" s="28"/>
    </row>
    <row r="20" spans="2:9" ht="15.6">
      <c r="B20" s="183"/>
      <c r="C20" s="48" t="s">
        <v>370</v>
      </c>
      <c r="D20" s="177" t="s">
        <v>120</v>
      </c>
      <c r="E20" s="177"/>
      <c r="F20" s="177"/>
      <c r="G20" s="178"/>
      <c r="H20" s="49"/>
      <c r="I20" s="50"/>
    </row>
    <row r="21" spans="2:9">
      <c r="B21" s="11"/>
      <c r="C21" s="11"/>
      <c r="D21" s="11"/>
      <c r="E21" s="11"/>
      <c r="F21" s="11"/>
      <c r="G21" s="11"/>
    </row>
    <row r="22" spans="2:9">
      <c r="B22" s="11"/>
      <c r="C22" s="11"/>
      <c r="D22" s="11"/>
      <c r="E22" s="11"/>
      <c r="F22" s="11"/>
      <c r="G22" s="11"/>
    </row>
  </sheetData>
  <mergeCells count="9">
    <mergeCell ref="D20:G20"/>
    <mergeCell ref="B2:B7"/>
    <mergeCell ref="B9:B14"/>
    <mergeCell ref="B16:B20"/>
    <mergeCell ref="C1:I1"/>
    <mergeCell ref="C2:F2"/>
    <mergeCell ref="D10:H10"/>
    <mergeCell ref="D14:H14"/>
    <mergeCell ref="D17:G1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6"/>
  <sheetViews>
    <sheetView topLeftCell="A364" workbookViewId="0">
      <selection activeCell="G22" sqref="G22"/>
    </sheetView>
  </sheetViews>
  <sheetFormatPr defaultColWidth="9" defaultRowHeight="14.4"/>
  <cols>
    <col min="1" max="1" width="9" style="1"/>
    <col min="2" max="3" width="12.88671875" customWidth="1"/>
    <col min="4" max="4" width="23.6640625" customWidth="1"/>
    <col min="5" max="5" width="12.88671875" style="2" customWidth="1"/>
  </cols>
  <sheetData>
    <row r="1" spans="1:6">
      <c r="A1" s="3" t="s">
        <v>92</v>
      </c>
      <c r="B1" s="4" t="s">
        <v>371</v>
      </c>
      <c r="C1" s="4" t="s">
        <v>372</v>
      </c>
      <c r="D1" s="4" t="s">
        <v>373</v>
      </c>
      <c r="E1" s="5" t="s">
        <v>108</v>
      </c>
    </row>
    <row r="2" spans="1:6">
      <c r="A2" s="4" t="s">
        <v>110</v>
      </c>
      <c r="B2" s="4" t="s">
        <v>120</v>
      </c>
      <c r="C2" s="4" t="s">
        <v>118</v>
      </c>
      <c r="D2" s="4" t="str">
        <f>A2&amp;B2&amp;C2</f>
        <v>AL101ConformanceLabor</v>
      </c>
      <c r="E2" s="6">
        <v>5</v>
      </c>
      <c r="F2" t="str">
        <f>+MID(A2,1,1)</f>
        <v>A</v>
      </c>
    </row>
    <row r="3" spans="1:6">
      <c r="A3" s="4" t="s">
        <v>110</v>
      </c>
      <c r="B3" s="4" t="s">
        <v>114</v>
      </c>
      <c r="C3" s="4" t="s">
        <v>118</v>
      </c>
      <c r="D3" s="4" t="str">
        <f>A3&amp;B3&amp;C3</f>
        <v>AL101PriorityLabor</v>
      </c>
      <c r="E3" s="6">
        <v>0</v>
      </c>
      <c r="F3" t="str">
        <f t="shared" ref="F3:F66" si="0">+MID(A3,1,1)</f>
        <v>A</v>
      </c>
    </row>
    <row r="4" spans="1:6">
      <c r="A4" s="4" t="s">
        <v>110</v>
      </c>
      <c r="B4" s="4" t="s">
        <v>112</v>
      </c>
      <c r="C4" s="4" t="s">
        <v>118</v>
      </c>
      <c r="D4" s="4" t="str">
        <f>A4&amp;B4&amp;C4</f>
        <v>AL101MajorLabor</v>
      </c>
      <c r="E4" s="6">
        <v>1</v>
      </c>
      <c r="F4" t="str">
        <f t="shared" si="0"/>
        <v>A</v>
      </c>
    </row>
    <row r="5" spans="1:6">
      <c r="A5" s="4" t="s">
        <v>110</v>
      </c>
      <c r="B5" s="4" t="s">
        <v>185</v>
      </c>
      <c r="C5" s="4" t="s">
        <v>118</v>
      </c>
      <c r="D5" s="4" t="str">
        <f>A5&amp;B5&amp;C5</f>
        <v>AL101MinorLabor</v>
      </c>
      <c r="E5" s="6">
        <v>3</v>
      </c>
      <c r="F5" t="str">
        <f t="shared" si="0"/>
        <v>A</v>
      </c>
    </row>
    <row r="6" spans="1:6">
      <c r="A6" s="4" t="s">
        <v>110</v>
      </c>
      <c r="B6" s="4" t="s">
        <v>374</v>
      </c>
      <c r="C6" s="4" t="s">
        <v>118</v>
      </c>
      <c r="D6" s="4" t="str">
        <f>A6&amp;B6&amp;C6</f>
        <v>AL101N/ALabor</v>
      </c>
      <c r="E6" s="6">
        <v>5</v>
      </c>
      <c r="F6" t="str">
        <f t="shared" si="0"/>
        <v>A</v>
      </c>
    </row>
    <row r="7" spans="1:6">
      <c r="A7" s="4" t="s">
        <v>119</v>
      </c>
      <c r="B7" s="4" t="s">
        <v>120</v>
      </c>
      <c r="C7" s="4" t="s">
        <v>118</v>
      </c>
      <c r="D7" s="4" t="str">
        <f t="shared" ref="D7:D66" si="1">A7&amp;B7&amp;C7</f>
        <v>AL102ConformanceLabor</v>
      </c>
      <c r="E7" s="5">
        <v>4</v>
      </c>
      <c r="F7" t="str">
        <f t="shared" si="0"/>
        <v>A</v>
      </c>
    </row>
    <row r="8" spans="1:6">
      <c r="A8" s="4" t="s">
        <v>119</v>
      </c>
      <c r="B8" s="4" t="s">
        <v>114</v>
      </c>
      <c r="C8" s="4" t="s">
        <v>118</v>
      </c>
      <c r="D8" s="4" t="str">
        <f t="shared" si="1"/>
        <v>AL102PriorityLabor</v>
      </c>
      <c r="E8" s="5">
        <v>0</v>
      </c>
      <c r="F8" t="str">
        <f t="shared" si="0"/>
        <v>A</v>
      </c>
    </row>
    <row r="9" spans="1:6">
      <c r="A9" s="4" t="s">
        <v>119</v>
      </c>
      <c r="B9" s="4" t="s">
        <v>112</v>
      </c>
      <c r="C9" s="4" t="s">
        <v>118</v>
      </c>
      <c r="D9" s="4" t="str">
        <f t="shared" si="1"/>
        <v>AL102MajorLabor</v>
      </c>
      <c r="E9" s="5">
        <v>1</v>
      </c>
      <c r="F9" t="str">
        <f t="shared" si="0"/>
        <v>A</v>
      </c>
    </row>
    <row r="10" spans="1:6">
      <c r="A10" s="4" t="s">
        <v>119</v>
      </c>
      <c r="B10" s="4" t="s">
        <v>185</v>
      </c>
      <c r="C10" s="4" t="s">
        <v>118</v>
      </c>
      <c r="D10" s="4" t="str">
        <f t="shared" si="1"/>
        <v>AL102MinorLabor</v>
      </c>
      <c r="E10" s="5">
        <v>2</v>
      </c>
      <c r="F10" t="str">
        <f t="shared" si="0"/>
        <v>A</v>
      </c>
    </row>
    <row r="11" spans="1:6">
      <c r="A11" s="4" t="s">
        <v>119</v>
      </c>
      <c r="B11" s="4" t="s">
        <v>374</v>
      </c>
      <c r="C11" s="4" t="s">
        <v>118</v>
      </c>
      <c r="D11" s="4" t="str">
        <f t="shared" si="1"/>
        <v>AL102N/ALabor</v>
      </c>
      <c r="E11" s="5">
        <v>4</v>
      </c>
      <c r="F11" t="str">
        <f t="shared" si="0"/>
        <v>A</v>
      </c>
    </row>
    <row r="12" spans="1:6">
      <c r="A12" s="4" t="s">
        <v>125</v>
      </c>
      <c r="B12" s="4" t="s">
        <v>120</v>
      </c>
      <c r="C12" s="4" t="s">
        <v>118</v>
      </c>
      <c r="D12" s="4" t="str">
        <f t="shared" si="1"/>
        <v>AL103ConformanceLabor</v>
      </c>
      <c r="E12" s="5">
        <v>4</v>
      </c>
      <c r="F12" t="str">
        <f t="shared" si="0"/>
        <v>A</v>
      </c>
    </row>
    <row r="13" spans="1:6">
      <c r="A13" s="4" t="s">
        <v>125</v>
      </c>
      <c r="B13" s="4" t="s">
        <v>114</v>
      </c>
      <c r="C13" s="4" t="s">
        <v>118</v>
      </c>
      <c r="D13" s="4" t="str">
        <f t="shared" si="1"/>
        <v>AL103PriorityLabor</v>
      </c>
      <c r="E13" s="5">
        <v>0</v>
      </c>
      <c r="F13" t="str">
        <f t="shared" si="0"/>
        <v>A</v>
      </c>
    </row>
    <row r="14" spans="1:6">
      <c r="A14" s="4" t="s">
        <v>125</v>
      </c>
      <c r="B14" s="4" t="s">
        <v>112</v>
      </c>
      <c r="C14" s="4" t="s">
        <v>118</v>
      </c>
      <c r="D14" s="4" t="str">
        <f t="shared" si="1"/>
        <v>AL103MajorLabor</v>
      </c>
      <c r="E14" s="5">
        <v>1</v>
      </c>
      <c r="F14" t="str">
        <f t="shared" si="0"/>
        <v>A</v>
      </c>
    </row>
    <row r="15" spans="1:6">
      <c r="A15" s="4" t="s">
        <v>125</v>
      </c>
      <c r="B15" s="4" t="s">
        <v>185</v>
      </c>
      <c r="C15" s="4" t="s">
        <v>118</v>
      </c>
      <c r="D15" s="4" t="str">
        <f t="shared" si="1"/>
        <v>AL103MinorLabor</v>
      </c>
      <c r="E15" s="5">
        <v>2</v>
      </c>
      <c r="F15" t="str">
        <f t="shared" si="0"/>
        <v>A</v>
      </c>
    </row>
    <row r="16" spans="1:6">
      <c r="A16" s="4" t="s">
        <v>125</v>
      </c>
      <c r="B16" s="4" t="s">
        <v>374</v>
      </c>
      <c r="C16" s="4" t="s">
        <v>118</v>
      </c>
      <c r="D16" s="4" t="str">
        <f t="shared" si="1"/>
        <v>AL103N/ALabor</v>
      </c>
      <c r="E16" s="5">
        <v>4</v>
      </c>
      <c r="F16" t="str">
        <f t="shared" si="0"/>
        <v>A</v>
      </c>
    </row>
    <row r="17" spans="1:6">
      <c r="A17" s="4" t="s">
        <v>131</v>
      </c>
      <c r="B17" s="4" t="s">
        <v>120</v>
      </c>
      <c r="C17" s="4" t="s">
        <v>118</v>
      </c>
      <c r="D17" s="4" t="str">
        <f t="shared" si="1"/>
        <v>AL201ConformanceLabor</v>
      </c>
      <c r="E17" s="7">
        <v>5</v>
      </c>
      <c r="F17" t="str">
        <f t="shared" si="0"/>
        <v>A</v>
      </c>
    </row>
    <row r="18" spans="1:6">
      <c r="A18" s="4" t="s">
        <v>131</v>
      </c>
      <c r="B18" s="4" t="s">
        <v>114</v>
      </c>
      <c r="C18" s="4" t="s">
        <v>118</v>
      </c>
      <c r="D18" s="4" t="str">
        <f t="shared" si="1"/>
        <v>AL201PriorityLabor</v>
      </c>
      <c r="E18" s="7">
        <v>0</v>
      </c>
      <c r="F18" t="str">
        <f t="shared" si="0"/>
        <v>A</v>
      </c>
    </row>
    <row r="19" spans="1:6">
      <c r="A19" s="4" t="s">
        <v>131</v>
      </c>
      <c r="B19" s="4" t="s">
        <v>112</v>
      </c>
      <c r="C19" s="4" t="s">
        <v>118</v>
      </c>
      <c r="D19" s="4" t="str">
        <f t="shared" si="1"/>
        <v>AL201MajorLabor</v>
      </c>
      <c r="E19" s="7">
        <v>1</v>
      </c>
      <c r="F19" t="str">
        <f t="shared" si="0"/>
        <v>A</v>
      </c>
    </row>
    <row r="20" spans="1:6">
      <c r="A20" s="4" t="s">
        <v>131</v>
      </c>
      <c r="B20" s="4" t="s">
        <v>185</v>
      </c>
      <c r="C20" s="4" t="s">
        <v>118</v>
      </c>
      <c r="D20" s="4" t="str">
        <f t="shared" si="1"/>
        <v>AL201MinorLabor</v>
      </c>
      <c r="E20" s="7">
        <v>3</v>
      </c>
      <c r="F20" t="str">
        <f t="shared" si="0"/>
        <v>A</v>
      </c>
    </row>
    <row r="21" spans="1:6">
      <c r="A21" s="4" t="s">
        <v>131</v>
      </c>
      <c r="B21" s="4" t="s">
        <v>374</v>
      </c>
      <c r="C21" s="4" t="s">
        <v>118</v>
      </c>
      <c r="D21" s="4" t="str">
        <f t="shared" si="1"/>
        <v>AL201N/ALabor</v>
      </c>
      <c r="E21" s="7">
        <v>5</v>
      </c>
      <c r="F21" t="str">
        <f t="shared" si="0"/>
        <v>A</v>
      </c>
    </row>
    <row r="22" spans="1:6">
      <c r="A22" s="4" t="s">
        <v>135</v>
      </c>
      <c r="B22" s="4" t="s">
        <v>120</v>
      </c>
      <c r="C22" s="4" t="s">
        <v>118</v>
      </c>
      <c r="D22" s="4" t="str">
        <f t="shared" si="1"/>
        <v>AL202ConformanceLabor</v>
      </c>
      <c r="E22" s="7">
        <v>4</v>
      </c>
      <c r="F22" t="str">
        <f t="shared" si="0"/>
        <v>A</v>
      </c>
    </row>
    <row r="23" spans="1:6">
      <c r="A23" s="4" t="s">
        <v>135</v>
      </c>
      <c r="B23" s="4" t="s">
        <v>114</v>
      </c>
      <c r="C23" s="4" t="s">
        <v>118</v>
      </c>
      <c r="D23" s="4" t="str">
        <f t="shared" si="1"/>
        <v>AL202PriorityLabor</v>
      </c>
      <c r="E23" s="7">
        <v>0</v>
      </c>
      <c r="F23" t="str">
        <f t="shared" si="0"/>
        <v>A</v>
      </c>
    </row>
    <row r="24" spans="1:6">
      <c r="A24" s="4" t="s">
        <v>135</v>
      </c>
      <c r="B24" s="4" t="s">
        <v>112</v>
      </c>
      <c r="C24" s="4" t="s">
        <v>118</v>
      </c>
      <c r="D24" s="4" t="str">
        <f t="shared" si="1"/>
        <v>AL202MajorLabor</v>
      </c>
      <c r="E24" s="7">
        <v>1</v>
      </c>
      <c r="F24" t="str">
        <f t="shared" si="0"/>
        <v>A</v>
      </c>
    </row>
    <row r="25" spans="1:6">
      <c r="A25" s="4" t="s">
        <v>135</v>
      </c>
      <c r="B25" s="4" t="s">
        <v>185</v>
      </c>
      <c r="C25" s="4" t="s">
        <v>118</v>
      </c>
      <c r="D25" s="4" t="str">
        <f t="shared" si="1"/>
        <v>AL202MinorLabor</v>
      </c>
      <c r="E25" s="7">
        <v>2</v>
      </c>
      <c r="F25" t="str">
        <f t="shared" si="0"/>
        <v>A</v>
      </c>
    </row>
    <row r="26" spans="1:6">
      <c r="A26" s="4" t="s">
        <v>135</v>
      </c>
      <c r="B26" s="4" t="s">
        <v>374</v>
      </c>
      <c r="C26" s="4" t="s">
        <v>118</v>
      </c>
      <c r="D26" s="4" t="str">
        <f t="shared" si="1"/>
        <v>AL202N/ALabor</v>
      </c>
      <c r="E26" s="7">
        <v>4</v>
      </c>
      <c r="F26" t="str">
        <f t="shared" si="0"/>
        <v>A</v>
      </c>
    </row>
    <row r="27" spans="1:6">
      <c r="A27" s="4" t="s">
        <v>139</v>
      </c>
      <c r="B27" s="4" t="s">
        <v>120</v>
      </c>
      <c r="C27" s="4" t="s">
        <v>118</v>
      </c>
      <c r="D27" s="4" t="str">
        <f t="shared" si="1"/>
        <v>AL203ConformanceLabor</v>
      </c>
      <c r="E27" s="7">
        <v>3</v>
      </c>
      <c r="F27" t="str">
        <f t="shared" si="0"/>
        <v>A</v>
      </c>
    </row>
    <row r="28" spans="1:6">
      <c r="A28" s="4" t="s">
        <v>139</v>
      </c>
      <c r="B28" s="4" t="s">
        <v>114</v>
      </c>
      <c r="C28" s="4" t="s">
        <v>118</v>
      </c>
      <c r="D28" s="4" t="str">
        <f t="shared" si="1"/>
        <v>AL203PriorityLabor</v>
      </c>
      <c r="E28" s="7">
        <v>0</v>
      </c>
      <c r="F28" t="str">
        <f t="shared" si="0"/>
        <v>A</v>
      </c>
    </row>
    <row r="29" spans="1:6">
      <c r="A29" s="4" t="s">
        <v>139</v>
      </c>
      <c r="B29" s="4" t="s">
        <v>112</v>
      </c>
      <c r="C29" s="4" t="s">
        <v>118</v>
      </c>
      <c r="D29" s="4" t="str">
        <f t="shared" si="1"/>
        <v>AL203MajorLabor</v>
      </c>
      <c r="E29" s="7">
        <v>0</v>
      </c>
      <c r="F29" t="str">
        <f t="shared" si="0"/>
        <v>A</v>
      </c>
    </row>
    <row r="30" spans="1:6">
      <c r="A30" s="4" t="s">
        <v>139</v>
      </c>
      <c r="B30" s="4" t="s">
        <v>185</v>
      </c>
      <c r="C30" s="4" t="s">
        <v>118</v>
      </c>
      <c r="D30" s="4" t="str">
        <f t="shared" si="1"/>
        <v>AL203MinorLabor</v>
      </c>
      <c r="E30" s="7">
        <v>1</v>
      </c>
      <c r="F30" t="str">
        <f t="shared" si="0"/>
        <v>A</v>
      </c>
    </row>
    <row r="31" spans="1:6">
      <c r="A31" s="4" t="s">
        <v>139</v>
      </c>
      <c r="B31" s="4" t="s">
        <v>374</v>
      </c>
      <c r="C31" s="4" t="s">
        <v>118</v>
      </c>
      <c r="D31" s="4" t="str">
        <f t="shared" si="1"/>
        <v>AL203N/ALabor</v>
      </c>
      <c r="E31" s="7">
        <v>3</v>
      </c>
      <c r="F31" t="str">
        <f t="shared" si="0"/>
        <v>A</v>
      </c>
    </row>
    <row r="32" spans="1:6">
      <c r="A32" s="4" t="s">
        <v>144</v>
      </c>
      <c r="B32" s="4" t="s">
        <v>120</v>
      </c>
      <c r="C32" s="4" t="s">
        <v>118</v>
      </c>
      <c r="D32" s="4" t="str">
        <f t="shared" si="1"/>
        <v>AL301ConformanceLabor</v>
      </c>
      <c r="E32" s="7">
        <v>5</v>
      </c>
      <c r="F32" t="str">
        <f t="shared" si="0"/>
        <v>A</v>
      </c>
    </row>
    <row r="33" spans="1:6">
      <c r="A33" s="4" t="s">
        <v>144</v>
      </c>
      <c r="B33" s="4" t="s">
        <v>114</v>
      </c>
      <c r="C33" s="4" t="s">
        <v>118</v>
      </c>
      <c r="D33" s="4" t="str">
        <f t="shared" si="1"/>
        <v>AL301PriorityLabor</v>
      </c>
      <c r="E33" s="7">
        <v>0</v>
      </c>
      <c r="F33" t="str">
        <f t="shared" si="0"/>
        <v>A</v>
      </c>
    </row>
    <row r="34" spans="1:6">
      <c r="A34" s="4" t="s">
        <v>144</v>
      </c>
      <c r="B34" s="4" t="s">
        <v>112</v>
      </c>
      <c r="C34" s="4" t="s">
        <v>118</v>
      </c>
      <c r="D34" s="4" t="str">
        <f t="shared" si="1"/>
        <v>AL301MajorLabor</v>
      </c>
      <c r="E34" s="7">
        <v>1</v>
      </c>
      <c r="F34" t="str">
        <f t="shared" si="0"/>
        <v>A</v>
      </c>
    </row>
    <row r="35" spans="1:6">
      <c r="A35" s="4" t="s">
        <v>144</v>
      </c>
      <c r="B35" s="4" t="s">
        <v>185</v>
      </c>
      <c r="C35" s="4" t="s">
        <v>118</v>
      </c>
      <c r="D35" s="4" t="str">
        <f t="shared" si="1"/>
        <v>AL301MinorLabor</v>
      </c>
      <c r="E35" s="7">
        <v>3</v>
      </c>
      <c r="F35" t="str">
        <f t="shared" si="0"/>
        <v>A</v>
      </c>
    </row>
    <row r="36" spans="1:6">
      <c r="A36" s="4" t="s">
        <v>144</v>
      </c>
      <c r="B36" s="4" t="s">
        <v>374</v>
      </c>
      <c r="C36" s="4" t="s">
        <v>118</v>
      </c>
      <c r="D36" s="4" t="str">
        <f t="shared" si="1"/>
        <v>AL301N/ALabor</v>
      </c>
      <c r="E36" s="7">
        <v>5</v>
      </c>
      <c r="F36" t="str">
        <f t="shared" si="0"/>
        <v>A</v>
      </c>
    </row>
    <row r="37" spans="1:6">
      <c r="A37" s="4" t="s">
        <v>148</v>
      </c>
      <c r="B37" s="4" t="s">
        <v>120</v>
      </c>
      <c r="C37" s="4" t="s">
        <v>118</v>
      </c>
      <c r="D37" s="4" t="str">
        <f t="shared" si="1"/>
        <v>AL302ConformanceLabor</v>
      </c>
      <c r="E37" s="7">
        <v>4</v>
      </c>
      <c r="F37" t="str">
        <f t="shared" si="0"/>
        <v>A</v>
      </c>
    </row>
    <row r="38" spans="1:6">
      <c r="A38" s="4" t="s">
        <v>148</v>
      </c>
      <c r="B38" s="4" t="s">
        <v>114</v>
      </c>
      <c r="C38" s="4" t="s">
        <v>118</v>
      </c>
      <c r="D38" s="4" t="str">
        <f t="shared" si="1"/>
        <v>AL302PriorityLabor</v>
      </c>
      <c r="E38" s="7">
        <v>0</v>
      </c>
      <c r="F38" t="str">
        <f t="shared" si="0"/>
        <v>A</v>
      </c>
    </row>
    <row r="39" spans="1:6">
      <c r="A39" s="4" t="s">
        <v>148</v>
      </c>
      <c r="B39" s="4" t="s">
        <v>112</v>
      </c>
      <c r="C39" s="4" t="s">
        <v>118</v>
      </c>
      <c r="D39" s="4" t="str">
        <f t="shared" si="1"/>
        <v>AL302MajorLabor</v>
      </c>
      <c r="E39" s="7">
        <v>1</v>
      </c>
      <c r="F39" t="str">
        <f t="shared" si="0"/>
        <v>A</v>
      </c>
    </row>
    <row r="40" spans="1:6">
      <c r="A40" s="4" t="s">
        <v>148</v>
      </c>
      <c r="B40" s="4" t="s">
        <v>185</v>
      </c>
      <c r="C40" s="4" t="s">
        <v>118</v>
      </c>
      <c r="D40" s="4" t="str">
        <f t="shared" si="1"/>
        <v>AL302MinorLabor</v>
      </c>
      <c r="E40" s="7">
        <v>2</v>
      </c>
      <c r="F40" t="str">
        <f t="shared" si="0"/>
        <v>A</v>
      </c>
    </row>
    <row r="41" spans="1:6">
      <c r="A41" s="4" t="s">
        <v>148</v>
      </c>
      <c r="B41" s="4" t="s">
        <v>374</v>
      </c>
      <c r="C41" s="4" t="s">
        <v>118</v>
      </c>
      <c r="D41" s="4" t="str">
        <f t="shared" si="1"/>
        <v>AL302N/ALabor</v>
      </c>
      <c r="E41" s="7">
        <v>4</v>
      </c>
      <c r="F41" t="str">
        <f t="shared" si="0"/>
        <v>A</v>
      </c>
    </row>
    <row r="42" spans="1:6">
      <c r="A42" s="4" t="s">
        <v>152</v>
      </c>
      <c r="B42" s="4" t="s">
        <v>120</v>
      </c>
      <c r="C42" s="4" t="s">
        <v>118</v>
      </c>
      <c r="D42" s="4" t="str">
        <f t="shared" si="1"/>
        <v>AL303ConformanceLabor</v>
      </c>
      <c r="E42" s="7">
        <v>4</v>
      </c>
      <c r="F42" t="str">
        <f t="shared" si="0"/>
        <v>A</v>
      </c>
    </row>
    <row r="43" spans="1:6">
      <c r="A43" s="4" t="s">
        <v>152</v>
      </c>
      <c r="B43" s="4" t="s">
        <v>114</v>
      </c>
      <c r="C43" s="4" t="s">
        <v>118</v>
      </c>
      <c r="D43" s="4" t="str">
        <f t="shared" si="1"/>
        <v>AL303PriorityLabor</v>
      </c>
      <c r="E43" s="7">
        <v>0</v>
      </c>
      <c r="F43" t="str">
        <f t="shared" si="0"/>
        <v>A</v>
      </c>
    </row>
    <row r="44" spans="1:6">
      <c r="A44" s="4" t="s">
        <v>152</v>
      </c>
      <c r="B44" s="4" t="s">
        <v>112</v>
      </c>
      <c r="C44" s="4" t="s">
        <v>118</v>
      </c>
      <c r="D44" s="4" t="str">
        <f t="shared" si="1"/>
        <v>AL303MajorLabor</v>
      </c>
      <c r="E44" s="7">
        <v>1</v>
      </c>
      <c r="F44" t="str">
        <f t="shared" si="0"/>
        <v>A</v>
      </c>
    </row>
    <row r="45" spans="1:6">
      <c r="A45" s="4" t="s">
        <v>152</v>
      </c>
      <c r="B45" s="4" t="s">
        <v>185</v>
      </c>
      <c r="C45" s="4" t="s">
        <v>118</v>
      </c>
      <c r="D45" s="4" t="str">
        <f t="shared" si="1"/>
        <v>AL303MinorLabor</v>
      </c>
      <c r="E45" s="7">
        <v>2</v>
      </c>
      <c r="F45" t="str">
        <f t="shared" si="0"/>
        <v>A</v>
      </c>
    </row>
    <row r="46" spans="1:6">
      <c r="A46" s="4" t="s">
        <v>152</v>
      </c>
      <c r="B46" s="4" t="s">
        <v>374</v>
      </c>
      <c r="C46" s="4" t="s">
        <v>118</v>
      </c>
      <c r="D46" s="4" t="str">
        <f t="shared" si="1"/>
        <v>AL303N/ALabor</v>
      </c>
      <c r="E46" s="7">
        <v>4</v>
      </c>
      <c r="F46" t="str">
        <f t="shared" si="0"/>
        <v>A</v>
      </c>
    </row>
    <row r="47" spans="1:6">
      <c r="A47" s="4" t="s">
        <v>158</v>
      </c>
      <c r="B47" s="4" t="s">
        <v>120</v>
      </c>
      <c r="C47" s="4" t="s">
        <v>118</v>
      </c>
      <c r="D47" s="4" t="str">
        <f t="shared" si="1"/>
        <v>AL401ConformanceLabor</v>
      </c>
      <c r="E47" s="7">
        <v>5</v>
      </c>
      <c r="F47" t="str">
        <f t="shared" si="0"/>
        <v>A</v>
      </c>
    </row>
    <row r="48" spans="1:6">
      <c r="A48" s="4" t="s">
        <v>158</v>
      </c>
      <c r="B48" s="4" t="s">
        <v>114</v>
      </c>
      <c r="C48" s="4" t="s">
        <v>118</v>
      </c>
      <c r="D48" s="4" t="str">
        <f t="shared" si="1"/>
        <v>AL401PriorityLabor</v>
      </c>
      <c r="E48" s="7">
        <v>0</v>
      </c>
      <c r="F48" t="str">
        <f t="shared" si="0"/>
        <v>A</v>
      </c>
    </row>
    <row r="49" spans="1:6">
      <c r="A49" s="4" t="s">
        <v>158</v>
      </c>
      <c r="B49" s="4" t="s">
        <v>112</v>
      </c>
      <c r="C49" s="4" t="s">
        <v>118</v>
      </c>
      <c r="D49" s="4" t="str">
        <f t="shared" si="1"/>
        <v>AL401MajorLabor</v>
      </c>
      <c r="E49" s="7">
        <v>1</v>
      </c>
      <c r="F49" t="str">
        <f t="shared" si="0"/>
        <v>A</v>
      </c>
    </row>
    <row r="50" spans="1:6">
      <c r="A50" s="4" t="s">
        <v>158</v>
      </c>
      <c r="B50" s="4" t="s">
        <v>185</v>
      </c>
      <c r="C50" s="4" t="s">
        <v>118</v>
      </c>
      <c r="D50" s="4" t="str">
        <f t="shared" si="1"/>
        <v>AL401MinorLabor</v>
      </c>
      <c r="E50" s="7">
        <v>3</v>
      </c>
      <c r="F50" t="str">
        <f t="shared" si="0"/>
        <v>A</v>
      </c>
    </row>
    <row r="51" spans="1:6">
      <c r="A51" s="4" t="s">
        <v>158</v>
      </c>
      <c r="B51" s="4" t="s">
        <v>374</v>
      </c>
      <c r="C51" s="4" t="s">
        <v>118</v>
      </c>
      <c r="D51" s="4" t="str">
        <f t="shared" si="1"/>
        <v>AL401N/ALabor</v>
      </c>
      <c r="E51" s="7">
        <v>5</v>
      </c>
      <c r="F51" t="str">
        <f t="shared" si="0"/>
        <v>A</v>
      </c>
    </row>
    <row r="52" spans="1:6">
      <c r="A52" s="4" t="s">
        <v>162</v>
      </c>
      <c r="B52" s="4" t="s">
        <v>120</v>
      </c>
      <c r="C52" s="4" t="s">
        <v>118</v>
      </c>
      <c r="D52" s="4" t="str">
        <f t="shared" si="1"/>
        <v>AL402ConformanceLabor</v>
      </c>
      <c r="E52" s="7">
        <v>4</v>
      </c>
      <c r="F52" t="str">
        <f t="shared" si="0"/>
        <v>A</v>
      </c>
    </row>
    <row r="53" spans="1:6">
      <c r="A53" s="4" t="s">
        <v>162</v>
      </c>
      <c r="B53" s="4" t="s">
        <v>114</v>
      </c>
      <c r="C53" s="4" t="s">
        <v>118</v>
      </c>
      <c r="D53" s="4" t="str">
        <f t="shared" si="1"/>
        <v>AL402PriorityLabor</v>
      </c>
      <c r="E53" s="7">
        <v>0</v>
      </c>
      <c r="F53" t="str">
        <f t="shared" si="0"/>
        <v>A</v>
      </c>
    </row>
    <row r="54" spans="1:6">
      <c r="A54" s="4" t="s">
        <v>162</v>
      </c>
      <c r="B54" s="4" t="s">
        <v>112</v>
      </c>
      <c r="C54" s="4" t="s">
        <v>118</v>
      </c>
      <c r="D54" s="4" t="str">
        <f t="shared" si="1"/>
        <v>AL402MajorLabor</v>
      </c>
      <c r="E54" s="7">
        <v>1</v>
      </c>
      <c r="F54" t="str">
        <f t="shared" si="0"/>
        <v>A</v>
      </c>
    </row>
    <row r="55" spans="1:6">
      <c r="A55" s="4" t="s">
        <v>162</v>
      </c>
      <c r="B55" s="4" t="s">
        <v>185</v>
      </c>
      <c r="C55" s="4" t="s">
        <v>118</v>
      </c>
      <c r="D55" s="4" t="str">
        <f t="shared" si="1"/>
        <v>AL402MinorLabor</v>
      </c>
      <c r="E55" s="7">
        <v>2</v>
      </c>
      <c r="F55" t="str">
        <f t="shared" si="0"/>
        <v>A</v>
      </c>
    </row>
    <row r="56" spans="1:6">
      <c r="A56" s="4" t="s">
        <v>162</v>
      </c>
      <c r="B56" s="4" t="s">
        <v>374</v>
      </c>
      <c r="C56" s="4" t="s">
        <v>118</v>
      </c>
      <c r="D56" s="4" t="str">
        <f t="shared" si="1"/>
        <v>AL402N/ALabor</v>
      </c>
      <c r="E56" s="7">
        <v>4</v>
      </c>
      <c r="F56" t="str">
        <f t="shared" si="0"/>
        <v>A</v>
      </c>
    </row>
    <row r="57" spans="1:6">
      <c r="A57" s="4" t="s">
        <v>166</v>
      </c>
      <c r="B57" s="4" t="s">
        <v>120</v>
      </c>
      <c r="C57" s="4" t="s">
        <v>118</v>
      </c>
      <c r="D57" s="4" t="str">
        <f t="shared" si="1"/>
        <v>AL403ConformanceLabor</v>
      </c>
      <c r="E57" s="7">
        <v>5</v>
      </c>
      <c r="F57" t="str">
        <f t="shared" si="0"/>
        <v>A</v>
      </c>
    </row>
    <row r="58" spans="1:6">
      <c r="A58" s="4" t="s">
        <v>166</v>
      </c>
      <c r="B58" s="4" t="s">
        <v>114</v>
      </c>
      <c r="C58" s="4" t="s">
        <v>118</v>
      </c>
      <c r="D58" s="4" t="str">
        <f t="shared" si="1"/>
        <v>AL403PriorityLabor</v>
      </c>
      <c r="E58" s="7">
        <v>0</v>
      </c>
      <c r="F58" t="str">
        <f t="shared" si="0"/>
        <v>A</v>
      </c>
    </row>
    <row r="59" spans="1:6">
      <c r="A59" s="4" t="s">
        <v>166</v>
      </c>
      <c r="B59" s="4" t="s">
        <v>112</v>
      </c>
      <c r="C59" s="4" t="s">
        <v>118</v>
      </c>
      <c r="D59" s="4" t="str">
        <f t="shared" si="1"/>
        <v>AL403MajorLabor</v>
      </c>
      <c r="E59" s="7">
        <v>1</v>
      </c>
      <c r="F59" t="str">
        <f t="shared" si="0"/>
        <v>A</v>
      </c>
    </row>
    <row r="60" spans="1:6">
      <c r="A60" s="4" t="s">
        <v>166</v>
      </c>
      <c r="B60" s="4" t="s">
        <v>185</v>
      </c>
      <c r="C60" s="4" t="s">
        <v>118</v>
      </c>
      <c r="D60" s="4" t="str">
        <f t="shared" si="1"/>
        <v>AL403MinorLabor</v>
      </c>
      <c r="E60" s="7">
        <v>3</v>
      </c>
      <c r="F60" t="str">
        <f t="shared" si="0"/>
        <v>A</v>
      </c>
    </row>
    <row r="61" spans="1:6">
      <c r="A61" s="4" t="s">
        <v>166</v>
      </c>
      <c r="B61" s="4" t="s">
        <v>374</v>
      </c>
      <c r="C61" s="4" t="s">
        <v>118</v>
      </c>
      <c r="D61" s="4" t="str">
        <f t="shared" si="1"/>
        <v>AL403N/ALabor</v>
      </c>
      <c r="E61" s="7">
        <v>5</v>
      </c>
      <c r="F61" t="str">
        <f t="shared" si="0"/>
        <v>A</v>
      </c>
    </row>
    <row r="62" spans="1:6">
      <c r="A62" s="4" t="s">
        <v>172</v>
      </c>
      <c r="B62" s="4" t="s">
        <v>120</v>
      </c>
      <c r="C62" s="4" t="s">
        <v>118</v>
      </c>
      <c r="D62" s="4" t="str">
        <f t="shared" si="1"/>
        <v>AL501ConformanceLabor</v>
      </c>
      <c r="E62" s="7">
        <v>5</v>
      </c>
      <c r="F62" t="str">
        <f t="shared" si="0"/>
        <v>A</v>
      </c>
    </row>
    <row r="63" spans="1:6">
      <c r="A63" s="4" t="s">
        <v>172</v>
      </c>
      <c r="B63" s="4" t="s">
        <v>114</v>
      </c>
      <c r="C63" s="4" t="s">
        <v>118</v>
      </c>
      <c r="D63" s="4" t="str">
        <f t="shared" si="1"/>
        <v>AL501PriorityLabor</v>
      </c>
      <c r="E63" s="7">
        <v>0</v>
      </c>
      <c r="F63" t="str">
        <f t="shared" si="0"/>
        <v>A</v>
      </c>
    </row>
    <row r="64" spans="1:6">
      <c r="A64" s="4" t="s">
        <v>172</v>
      </c>
      <c r="B64" s="4" t="s">
        <v>112</v>
      </c>
      <c r="C64" s="4" t="s">
        <v>118</v>
      </c>
      <c r="D64" s="4" t="str">
        <f t="shared" si="1"/>
        <v>AL501MajorLabor</v>
      </c>
      <c r="E64" s="7">
        <v>1</v>
      </c>
      <c r="F64" t="str">
        <f t="shared" si="0"/>
        <v>A</v>
      </c>
    </row>
    <row r="65" spans="1:6">
      <c r="A65" s="4" t="s">
        <v>172</v>
      </c>
      <c r="B65" s="4" t="s">
        <v>185</v>
      </c>
      <c r="C65" s="4" t="s">
        <v>118</v>
      </c>
      <c r="D65" s="4" t="str">
        <f t="shared" si="1"/>
        <v>AL501MinorLabor</v>
      </c>
      <c r="E65" s="7">
        <v>3</v>
      </c>
      <c r="F65" t="str">
        <f t="shared" si="0"/>
        <v>A</v>
      </c>
    </row>
    <row r="66" spans="1:6">
      <c r="A66" s="4" t="s">
        <v>172</v>
      </c>
      <c r="B66" s="4" t="s">
        <v>374</v>
      </c>
      <c r="C66" s="4" t="s">
        <v>118</v>
      </c>
      <c r="D66" s="4" t="str">
        <f t="shared" si="1"/>
        <v>AL501N/ALabor</v>
      </c>
      <c r="E66" s="7">
        <v>5</v>
      </c>
      <c r="F66" t="str">
        <f t="shared" si="0"/>
        <v>A</v>
      </c>
    </row>
    <row r="67" spans="1:6">
      <c r="A67" s="4" t="s">
        <v>176</v>
      </c>
      <c r="B67" s="4" t="s">
        <v>120</v>
      </c>
      <c r="C67" s="4" t="s">
        <v>118</v>
      </c>
      <c r="D67" s="4" t="str">
        <f t="shared" ref="D67:D130" si="2">A67&amp;B67&amp;C67</f>
        <v>AL502ConformanceLabor</v>
      </c>
      <c r="E67" s="7">
        <v>3</v>
      </c>
      <c r="F67" t="str">
        <f t="shared" ref="F67:F130" si="3">+MID(A67,1,1)</f>
        <v>A</v>
      </c>
    </row>
    <row r="68" spans="1:6">
      <c r="A68" s="4" t="s">
        <v>176</v>
      </c>
      <c r="B68" s="4" t="s">
        <v>114</v>
      </c>
      <c r="C68" s="4" t="s">
        <v>118</v>
      </c>
      <c r="D68" s="4" t="str">
        <f t="shared" si="2"/>
        <v>AL502PriorityLabor</v>
      </c>
      <c r="E68" s="7">
        <v>0</v>
      </c>
      <c r="F68" t="str">
        <f t="shared" si="3"/>
        <v>A</v>
      </c>
    </row>
    <row r="69" spans="1:6">
      <c r="A69" s="4" t="s">
        <v>176</v>
      </c>
      <c r="B69" s="4" t="s">
        <v>112</v>
      </c>
      <c r="C69" s="4" t="s">
        <v>118</v>
      </c>
      <c r="D69" s="4" t="str">
        <f t="shared" si="2"/>
        <v>AL502MajorLabor</v>
      </c>
      <c r="E69" s="7">
        <v>0</v>
      </c>
      <c r="F69" t="str">
        <f t="shared" si="3"/>
        <v>A</v>
      </c>
    </row>
    <row r="70" spans="1:6">
      <c r="A70" s="4" t="s">
        <v>176</v>
      </c>
      <c r="B70" s="4" t="s">
        <v>185</v>
      </c>
      <c r="C70" s="4" t="s">
        <v>118</v>
      </c>
      <c r="D70" s="4" t="str">
        <f t="shared" si="2"/>
        <v>AL502MinorLabor</v>
      </c>
      <c r="E70" s="7">
        <v>1</v>
      </c>
      <c r="F70" t="str">
        <f t="shared" si="3"/>
        <v>A</v>
      </c>
    </row>
    <row r="71" spans="1:6">
      <c r="A71" s="4" t="s">
        <v>176</v>
      </c>
      <c r="B71" s="4" t="s">
        <v>374</v>
      </c>
      <c r="C71" s="4" t="s">
        <v>118</v>
      </c>
      <c r="D71" s="4" t="str">
        <f t="shared" si="2"/>
        <v>AL502N/ALabor</v>
      </c>
      <c r="E71" s="7">
        <v>3</v>
      </c>
      <c r="F71" t="str">
        <f t="shared" si="3"/>
        <v>A</v>
      </c>
    </row>
    <row r="72" spans="1:6">
      <c r="A72" s="4" t="s">
        <v>180</v>
      </c>
      <c r="B72" s="4" t="s">
        <v>120</v>
      </c>
      <c r="C72" s="4" t="s">
        <v>118</v>
      </c>
      <c r="D72" s="4" t="str">
        <f t="shared" si="2"/>
        <v>AL503ConformanceLabor</v>
      </c>
      <c r="E72" s="7">
        <v>1</v>
      </c>
      <c r="F72" t="str">
        <f t="shared" si="3"/>
        <v>A</v>
      </c>
    </row>
    <row r="73" spans="1:6">
      <c r="A73" s="4" t="s">
        <v>180</v>
      </c>
      <c r="B73" s="4" t="s">
        <v>114</v>
      </c>
      <c r="C73" s="4" t="s">
        <v>118</v>
      </c>
      <c r="D73" s="4" t="str">
        <f t="shared" si="2"/>
        <v>AL503PriorityLabor</v>
      </c>
      <c r="E73" s="7">
        <v>0</v>
      </c>
      <c r="F73" t="str">
        <f t="shared" si="3"/>
        <v>A</v>
      </c>
    </row>
    <row r="74" spans="1:6">
      <c r="A74" s="4" t="s">
        <v>180</v>
      </c>
      <c r="B74" s="4" t="s">
        <v>112</v>
      </c>
      <c r="C74" s="4" t="s">
        <v>118</v>
      </c>
      <c r="D74" s="4" t="str">
        <f t="shared" si="2"/>
        <v>AL503MajorLabor</v>
      </c>
      <c r="E74" s="7">
        <v>0.2</v>
      </c>
      <c r="F74" t="str">
        <f t="shared" si="3"/>
        <v>A</v>
      </c>
    </row>
    <row r="75" spans="1:6">
      <c r="A75" s="4" t="s">
        <v>180</v>
      </c>
      <c r="B75" s="4" t="s">
        <v>185</v>
      </c>
      <c r="C75" s="4" t="s">
        <v>118</v>
      </c>
      <c r="D75" s="4" t="str">
        <f t="shared" si="2"/>
        <v>AL503MinorLabor</v>
      </c>
      <c r="E75" s="7">
        <v>0.5</v>
      </c>
      <c r="F75" t="str">
        <f t="shared" si="3"/>
        <v>A</v>
      </c>
    </row>
    <row r="76" spans="1:6">
      <c r="A76" s="4" t="s">
        <v>180</v>
      </c>
      <c r="B76" s="4" t="s">
        <v>374</v>
      </c>
      <c r="C76" s="4" t="s">
        <v>118</v>
      </c>
      <c r="D76" s="4" t="str">
        <f t="shared" si="2"/>
        <v>AL503N/ALabor</v>
      </c>
      <c r="E76" s="7">
        <v>1</v>
      </c>
      <c r="F76" t="str">
        <f t="shared" si="3"/>
        <v>A</v>
      </c>
    </row>
    <row r="77" spans="1:6">
      <c r="A77" s="4" t="s">
        <v>184</v>
      </c>
      <c r="B77" s="4" t="s">
        <v>120</v>
      </c>
      <c r="C77" s="4" t="s">
        <v>118</v>
      </c>
      <c r="D77" s="4" t="str">
        <f t="shared" si="2"/>
        <v>AL504ConformanceLabor</v>
      </c>
      <c r="E77" s="7">
        <v>1</v>
      </c>
      <c r="F77" t="str">
        <f t="shared" si="3"/>
        <v>A</v>
      </c>
    </row>
    <row r="78" spans="1:6">
      <c r="A78" s="4" t="s">
        <v>184</v>
      </c>
      <c r="B78" s="4" t="s">
        <v>114</v>
      </c>
      <c r="C78" s="4" t="s">
        <v>118</v>
      </c>
      <c r="D78" s="4" t="str">
        <f t="shared" si="2"/>
        <v>AL504PriorityLabor</v>
      </c>
      <c r="E78" s="7">
        <v>0</v>
      </c>
      <c r="F78" t="str">
        <f t="shared" si="3"/>
        <v>A</v>
      </c>
    </row>
    <row r="79" spans="1:6">
      <c r="A79" s="4" t="s">
        <v>184</v>
      </c>
      <c r="B79" s="4" t="s">
        <v>112</v>
      </c>
      <c r="C79" s="4" t="s">
        <v>118</v>
      </c>
      <c r="D79" s="4" t="str">
        <f t="shared" si="2"/>
        <v>AL504MajorLabor</v>
      </c>
      <c r="E79" s="7">
        <v>0.2</v>
      </c>
      <c r="F79" t="str">
        <f t="shared" si="3"/>
        <v>A</v>
      </c>
    </row>
    <row r="80" spans="1:6">
      <c r="A80" s="4" t="s">
        <v>184</v>
      </c>
      <c r="B80" s="4" t="s">
        <v>185</v>
      </c>
      <c r="C80" s="4" t="s">
        <v>118</v>
      </c>
      <c r="D80" s="4" t="str">
        <f t="shared" si="2"/>
        <v>AL504MinorLabor</v>
      </c>
      <c r="E80" s="7">
        <v>0.5</v>
      </c>
      <c r="F80" t="str">
        <f t="shared" si="3"/>
        <v>A</v>
      </c>
    </row>
    <row r="81" spans="1:6">
      <c r="A81" s="4" t="s">
        <v>184</v>
      </c>
      <c r="B81" s="4" t="s">
        <v>374</v>
      </c>
      <c r="C81" s="4" t="s">
        <v>118</v>
      </c>
      <c r="D81" s="4" t="str">
        <f t="shared" si="2"/>
        <v>AL504N/ALabor</v>
      </c>
      <c r="E81" s="7">
        <v>1</v>
      </c>
      <c r="F81" t="str">
        <f t="shared" si="3"/>
        <v>A</v>
      </c>
    </row>
    <row r="82" spans="1:6">
      <c r="A82" s="4" t="s">
        <v>190</v>
      </c>
      <c r="B82" s="4" t="s">
        <v>120</v>
      </c>
      <c r="C82" s="4" t="s">
        <v>118</v>
      </c>
      <c r="D82" s="4" t="str">
        <f t="shared" si="2"/>
        <v>AL601ConformanceLabor</v>
      </c>
      <c r="E82" s="7">
        <v>2</v>
      </c>
      <c r="F82" t="str">
        <f t="shared" si="3"/>
        <v>A</v>
      </c>
    </row>
    <row r="83" spans="1:6">
      <c r="A83" s="4" t="s">
        <v>190</v>
      </c>
      <c r="B83" s="4" t="s">
        <v>114</v>
      </c>
      <c r="C83" s="4" t="s">
        <v>118</v>
      </c>
      <c r="D83" s="4" t="str">
        <f t="shared" si="2"/>
        <v>AL601PriorityLabor</v>
      </c>
      <c r="E83" s="7">
        <v>0</v>
      </c>
      <c r="F83" t="str">
        <f t="shared" si="3"/>
        <v>A</v>
      </c>
    </row>
    <row r="84" spans="1:6">
      <c r="A84" s="4" t="s">
        <v>190</v>
      </c>
      <c r="B84" s="4" t="s">
        <v>112</v>
      </c>
      <c r="C84" s="4" t="s">
        <v>118</v>
      </c>
      <c r="D84" s="4" t="str">
        <f t="shared" si="2"/>
        <v>AL601MajorLabor</v>
      </c>
      <c r="E84" s="7">
        <v>0.5</v>
      </c>
      <c r="F84" t="str">
        <f t="shared" si="3"/>
        <v>A</v>
      </c>
    </row>
    <row r="85" spans="1:6">
      <c r="A85" s="4" t="s">
        <v>190</v>
      </c>
      <c r="B85" s="4" t="s">
        <v>185</v>
      </c>
      <c r="C85" s="4" t="s">
        <v>118</v>
      </c>
      <c r="D85" s="4" t="str">
        <f t="shared" si="2"/>
        <v>AL601MinorLabor</v>
      </c>
      <c r="E85" s="7">
        <v>1</v>
      </c>
      <c r="F85" t="str">
        <f t="shared" si="3"/>
        <v>A</v>
      </c>
    </row>
    <row r="86" spans="1:6">
      <c r="A86" s="4" t="s">
        <v>190</v>
      </c>
      <c r="B86" s="4" t="s">
        <v>374</v>
      </c>
      <c r="C86" s="4" t="s">
        <v>118</v>
      </c>
      <c r="D86" s="4" t="str">
        <f t="shared" si="2"/>
        <v>AL601N/ALabor</v>
      </c>
      <c r="E86" s="7">
        <v>2</v>
      </c>
      <c r="F86" t="str">
        <f t="shared" si="3"/>
        <v>A</v>
      </c>
    </row>
    <row r="87" spans="1:6">
      <c r="A87" s="4" t="s">
        <v>194</v>
      </c>
      <c r="B87" s="4" t="s">
        <v>120</v>
      </c>
      <c r="C87" s="4" t="s">
        <v>118</v>
      </c>
      <c r="D87" s="4" t="str">
        <f t="shared" si="2"/>
        <v>AL602ConformanceLabor</v>
      </c>
      <c r="E87" s="7">
        <v>2</v>
      </c>
      <c r="F87" t="str">
        <f t="shared" si="3"/>
        <v>A</v>
      </c>
    </row>
    <row r="88" spans="1:6">
      <c r="A88" s="4" t="s">
        <v>194</v>
      </c>
      <c r="B88" s="4" t="s">
        <v>114</v>
      </c>
      <c r="C88" s="4" t="s">
        <v>118</v>
      </c>
      <c r="D88" s="4" t="str">
        <f t="shared" si="2"/>
        <v>AL602PriorityLabor</v>
      </c>
      <c r="E88" s="7">
        <v>0</v>
      </c>
      <c r="F88" t="str">
        <f t="shared" si="3"/>
        <v>A</v>
      </c>
    </row>
    <row r="89" spans="1:6">
      <c r="A89" s="4" t="s">
        <v>194</v>
      </c>
      <c r="B89" s="4" t="s">
        <v>112</v>
      </c>
      <c r="C89" s="4" t="s">
        <v>118</v>
      </c>
      <c r="D89" s="4" t="str">
        <f t="shared" si="2"/>
        <v>AL602MajorLabor</v>
      </c>
      <c r="E89" s="7">
        <v>0.5</v>
      </c>
      <c r="F89" t="str">
        <f t="shared" si="3"/>
        <v>A</v>
      </c>
    </row>
    <row r="90" spans="1:6">
      <c r="A90" s="4" t="s">
        <v>194</v>
      </c>
      <c r="B90" s="4" t="s">
        <v>185</v>
      </c>
      <c r="C90" s="4" t="s">
        <v>118</v>
      </c>
      <c r="D90" s="4" t="str">
        <f t="shared" si="2"/>
        <v>AL602MinorLabor</v>
      </c>
      <c r="E90" s="7">
        <v>1</v>
      </c>
      <c r="F90" t="str">
        <f t="shared" si="3"/>
        <v>A</v>
      </c>
    </row>
    <row r="91" spans="1:6">
      <c r="A91" s="4" t="s">
        <v>194</v>
      </c>
      <c r="B91" s="4" t="s">
        <v>374</v>
      </c>
      <c r="C91" s="4" t="s">
        <v>118</v>
      </c>
      <c r="D91" s="4" t="str">
        <f t="shared" si="2"/>
        <v>AL602N/ALabor</v>
      </c>
      <c r="E91" s="7">
        <v>2</v>
      </c>
      <c r="F91" t="str">
        <f t="shared" si="3"/>
        <v>A</v>
      </c>
    </row>
    <row r="92" spans="1:6">
      <c r="A92" s="4" t="s">
        <v>198</v>
      </c>
      <c r="B92" s="4" t="s">
        <v>120</v>
      </c>
      <c r="C92" s="4" t="s">
        <v>118</v>
      </c>
      <c r="D92" s="4" t="str">
        <f t="shared" si="2"/>
        <v>AL603ConformanceLabor</v>
      </c>
      <c r="E92" s="7">
        <v>2</v>
      </c>
      <c r="F92" t="str">
        <f t="shared" si="3"/>
        <v>A</v>
      </c>
    </row>
    <row r="93" spans="1:6">
      <c r="A93" s="4" t="s">
        <v>198</v>
      </c>
      <c r="B93" s="4" t="s">
        <v>114</v>
      </c>
      <c r="C93" s="4" t="s">
        <v>118</v>
      </c>
      <c r="D93" s="4" t="str">
        <f t="shared" si="2"/>
        <v>AL603PriorityLabor</v>
      </c>
      <c r="E93" s="7">
        <v>0</v>
      </c>
      <c r="F93" t="str">
        <f t="shared" si="3"/>
        <v>A</v>
      </c>
    </row>
    <row r="94" spans="1:6">
      <c r="A94" s="4" t="s">
        <v>198</v>
      </c>
      <c r="B94" s="4" t="s">
        <v>112</v>
      </c>
      <c r="C94" s="4" t="s">
        <v>118</v>
      </c>
      <c r="D94" s="4" t="str">
        <f t="shared" si="2"/>
        <v>AL603MajorLabor</v>
      </c>
      <c r="E94" s="7">
        <v>0.5</v>
      </c>
      <c r="F94" t="str">
        <f t="shared" si="3"/>
        <v>A</v>
      </c>
    </row>
    <row r="95" spans="1:6">
      <c r="A95" s="4" t="s">
        <v>198</v>
      </c>
      <c r="B95" s="4" t="s">
        <v>185</v>
      </c>
      <c r="C95" s="4" t="s">
        <v>118</v>
      </c>
      <c r="D95" s="4" t="str">
        <f t="shared" si="2"/>
        <v>AL603MinorLabor</v>
      </c>
      <c r="E95" s="7">
        <v>1</v>
      </c>
      <c r="F95" t="str">
        <f t="shared" si="3"/>
        <v>A</v>
      </c>
    </row>
    <row r="96" spans="1:6">
      <c r="A96" s="4" t="s">
        <v>198</v>
      </c>
      <c r="B96" s="4" t="s">
        <v>374</v>
      </c>
      <c r="C96" s="4" t="s">
        <v>118</v>
      </c>
      <c r="D96" s="4" t="str">
        <f t="shared" si="2"/>
        <v>AL603N/ALabor</v>
      </c>
      <c r="E96" s="7">
        <v>2</v>
      </c>
      <c r="F96" t="str">
        <f t="shared" si="3"/>
        <v>A</v>
      </c>
    </row>
    <row r="97" spans="1:6">
      <c r="A97" s="4" t="s">
        <v>203</v>
      </c>
      <c r="B97" s="4" t="s">
        <v>120</v>
      </c>
      <c r="C97" s="4" t="s">
        <v>118</v>
      </c>
      <c r="D97" s="4" t="str">
        <f t="shared" si="2"/>
        <v>AM101ConformanceLabor</v>
      </c>
      <c r="E97" s="7">
        <v>0.5</v>
      </c>
      <c r="F97" t="str">
        <f t="shared" si="3"/>
        <v>A</v>
      </c>
    </row>
    <row r="98" spans="1:6">
      <c r="A98" s="4" t="s">
        <v>203</v>
      </c>
      <c r="B98" s="4" t="s">
        <v>114</v>
      </c>
      <c r="C98" s="4" t="s">
        <v>118</v>
      </c>
      <c r="D98" s="4" t="str">
        <f t="shared" si="2"/>
        <v>AM101PriorityLabor</v>
      </c>
      <c r="E98" s="7">
        <v>0</v>
      </c>
      <c r="F98" t="str">
        <f t="shared" si="3"/>
        <v>A</v>
      </c>
    </row>
    <row r="99" spans="1:6">
      <c r="A99" s="4" t="s">
        <v>203</v>
      </c>
      <c r="B99" s="4" t="s">
        <v>112</v>
      </c>
      <c r="C99" s="4" t="s">
        <v>118</v>
      </c>
      <c r="D99" s="4" t="str">
        <f t="shared" si="2"/>
        <v>AM101MajorLabor</v>
      </c>
      <c r="E99" s="7">
        <v>0.1</v>
      </c>
      <c r="F99" t="str">
        <f t="shared" si="3"/>
        <v>A</v>
      </c>
    </row>
    <row r="100" spans="1:6">
      <c r="A100" s="4" t="s">
        <v>203</v>
      </c>
      <c r="B100" s="4" t="s">
        <v>185</v>
      </c>
      <c r="C100" s="4" t="s">
        <v>118</v>
      </c>
      <c r="D100" s="4" t="str">
        <f t="shared" si="2"/>
        <v>AM101MinorLabor</v>
      </c>
      <c r="E100" s="7">
        <v>0.3</v>
      </c>
      <c r="F100" t="str">
        <f t="shared" si="3"/>
        <v>A</v>
      </c>
    </row>
    <row r="101" spans="1:6">
      <c r="A101" s="4" t="s">
        <v>203</v>
      </c>
      <c r="B101" s="4" t="s">
        <v>374</v>
      </c>
      <c r="C101" s="4" t="s">
        <v>118</v>
      </c>
      <c r="D101" s="4" t="str">
        <f t="shared" si="2"/>
        <v>AM101N/ALabor</v>
      </c>
      <c r="E101" s="7">
        <v>0.5</v>
      </c>
      <c r="F101" t="str">
        <f t="shared" si="3"/>
        <v>A</v>
      </c>
    </row>
    <row r="102" spans="1:6">
      <c r="A102" s="4" t="s">
        <v>207</v>
      </c>
      <c r="B102" s="4" t="s">
        <v>120</v>
      </c>
      <c r="C102" s="4" t="s">
        <v>118</v>
      </c>
      <c r="D102" s="4" t="str">
        <f t="shared" si="2"/>
        <v>AM102ConformanceLabor</v>
      </c>
      <c r="E102" s="7">
        <v>0.5</v>
      </c>
      <c r="F102" t="str">
        <f t="shared" si="3"/>
        <v>A</v>
      </c>
    </row>
    <row r="103" spans="1:6">
      <c r="A103" s="4" t="s">
        <v>207</v>
      </c>
      <c r="B103" s="4" t="s">
        <v>114</v>
      </c>
      <c r="C103" s="4" t="s">
        <v>118</v>
      </c>
      <c r="D103" s="4" t="str">
        <f t="shared" si="2"/>
        <v>AM102PriorityLabor</v>
      </c>
      <c r="E103" s="7">
        <v>0</v>
      </c>
      <c r="F103" t="str">
        <f t="shared" si="3"/>
        <v>A</v>
      </c>
    </row>
    <row r="104" spans="1:6">
      <c r="A104" s="4" t="s">
        <v>207</v>
      </c>
      <c r="B104" s="4" t="s">
        <v>112</v>
      </c>
      <c r="C104" s="4" t="s">
        <v>118</v>
      </c>
      <c r="D104" s="4" t="str">
        <f t="shared" si="2"/>
        <v>AM102MajorLabor</v>
      </c>
      <c r="E104" s="7">
        <v>0.1</v>
      </c>
      <c r="F104" t="str">
        <f t="shared" si="3"/>
        <v>A</v>
      </c>
    </row>
    <row r="105" spans="1:6">
      <c r="A105" s="4" t="s">
        <v>207</v>
      </c>
      <c r="B105" s="4" t="s">
        <v>185</v>
      </c>
      <c r="C105" s="4" t="s">
        <v>118</v>
      </c>
      <c r="D105" s="4" t="str">
        <f t="shared" si="2"/>
        <v>AM102MinorLabor</v>
      </c>
      <c r="E105" s="7">
        <v>0.3</v>
      </c>
      <c r="F105" t="str">
        <f t="shared" si="3"/>
        <v>A</v>
      </c>
    </row>
    <row r="106" spans="1:6">
      <c r="A106" s="4" t="s">
        <v>207</v>
      </c>
      <c r="B106" s="4" t="s">
        <v>374</v>
      </c>
      <c r="C106" s="4" t="s">
        <v>118</v>
      </c>
      <c r="D106" s="4" t="str">
        <f t="shared" si="2"/>
        <v>AM102N/ALabor</v>
      </c>
      <c r="E106" s="7">
        <v>0.5</v>
      </c>
      <c r="F106" t="str">
        <f t="shared" si="3"/>
        <v>A</v>
      </c>
    </row>
    <row r="107" spans="1:6">
      <c r="A107" s="4" t="s">
        <v>212</v>
      </c>
      <c r="B107" s="4" t="s">
        <v>120</v>
      </c>
      <c r="C107" s="4" t="s">
        <v>118</v>
      </c>
      <c r="D107" s="4" t="str">
        <f t="shared" si="2"/>
        <v>AM201ConformanceLabor</v>
      </c>
      <c r="E107" s="7">
        <v>0.5</v>
      </c>
      <c r="F107" t="str">
        <f t="shared" si="3"/>
        <v>A</v>
      </c>
    </row>
    <row r="108" spans="1:6">
      <c r="A108" s="4" t="s">
        <v>212</v>
      </c>
      <c r="B108" s="4" t="s">
        <v>114</v>
      </c>
      <c r="C108" s="4" t="s">
        <v>118</v>
      </c>
      <c r="D108" s="4" t="str">
        <f t="shared" si="2"/>
        <v>AM201PriorityLabor</v>
      </c>
      <c r="E108" s="7">
        <v>0</v>
      </c>
      <c r="F108" t="str">
        <f t="shared" si="3"/>
        <v>A</v>
      </c>
    </row>
    <row r="109" spans="1:6">
      <c r="A109" s="4" t="s">
        <v>212</v>
      </c>
      <c r="B109" s="4" t="s">
        <v>112</v>
      </c>
      <c r="C109" s="4" t="s">
        <v>118</v>
      </c>
      <c r="D109" s="4" t="str">
        <f t="shared" si="2"/>
        <v>AM201MajorLabor</v>
      </c>
      <c r="E109" s="7">
        <v>0.1</v>
      </c>
      <c r="F109" t="str">
        <f t="shared" si="3"/>
        <v>A</v>
      </c>
    </row>
    <row r="110" spans="1:6">
      <c r="A110" s="4" t="s">
        <v>212</v>
      </c>
      <c r="B110" s="4" t="s">
        <v>185</v>
      </c>
      <c r="C110" s="4" t="s">
        <v>118</v>
      </c>
      <c r="D110" s="4" t="str">
        <f t="shared" si="2"/>
        <v>AM201MinorLabor</v>
      </c>
      <c r="E110" s="7">
        <v>0.3</v>
      </c>
      <c r="F110" t="str">
        <f t="shared" si="3"/>
        <v>A</v>
      </c>
    </row>
    <row r="111" spans="1:6">
      <c r="A111" s="4" t="s">
        <v>212</v>
      </c>
      <c r="B111" s="4" t="s">
        <v>374</v>
      </c>
      <c r="C111" s="4" t="s">
        <v>118</v>
      </c>
      <c r="D111" s="4" t="str">
        <f t="shared" si="2"/>
        <v>AM201N/ALabor</v>
      </c>
      <c r="E111" s="7">
        <v>0.5</v>
      </c>
      <c r="F111" t="str">
        <f t="shared" si="3"/>
        <v>A</v>
      </c>
    </row>
    <row r="112" spans="1:6">
      <c r="A112" s="4" t="s">
        <v>216</v>
      </c>
      <c r="B112" s="4" t="s">
        <v>120</v>
      </c>
      <c r="C112" s="4" t="s">
        <v>118</v>
      </c>
      <c r="D112" s="4" t="str">
        <f t="shared" si="2"/>
        <v>AM202ConformanceLabor</v>
      </c>
      <c r="E112" s="7">
        <v>0.5</v>
      </c>
      <c r="F112" t="str">
        <f t="shared" si="3"/>
        <v>A</v>
      </c>
    </row>
    <row r="113" spans="1:6">
      <c r="A113" s="4" t="s">
        <v>216</v>
      </c>
      <c r="B113" s="4" t="s">
        <v>114</v>
      </c>
      <c r="C113" s="4" t="s">
        <v>118</v>
      </c>
      <c r="D113" s="4" t="str">
        <f t="shared" si="2"/>
        <v>AM202PriorityLabor</v>
      </c>
      <c r="E113" s="7">
        <v>0</v>
      </c>
      <c r="F113" t="str">
        <f t="shared" si="3"/>
        <v>A</v>
      </c>
    </row>
    <row r="114" spans="1:6">
      <c r="A114" s="4" t="s">
        <v>216</v>
      </c>
      <c r="B114" s="4" t="s">
        <v>112</v>
      </c>
      <c r="C114" s="4" t="s">
        <v>118</v>
      </c>
      <c r="D114" s="4" t="str">
        <f t="shared" si="2"/>
        <v>AM202MajorLabor</v>
      </c>
      <c r="E114" s="7">
        <v>0.1</v>
      </c>
      <c r="F114" t="str">
        <f t="shared" si="3"/>
        <v>A</v>
      </c>
    </row>
    <row r="115" spans="1:6">
      <c r="A115" s="4" t="s">
        <v>216</v>
      </c>
      <c r="B115" s="4" t="s">
        <v>185</v>
      </c>
      <c r="C115" s="4" t="s">
        <v>118</v>
      </c>
      <c r="D115" s="4" t="str">
        <f t="shared" si="2"/>
        <v>AM202MinorLabor</v>
      </c>
      <c r="E115" s="7">
        <v>0.3</v>
      </c>
      <c r="F115" t="str">
        <f t="shared" si="3"/>
        <v>A</v>
      </c>
    </row>
    <row r="116" spans="1:6">
      <c r="A116" s="4" t="s">
        <v>216</v>
      </c>
      <c r="B116" s="4" t="s">
        <v>374</v>
      </c>
      <c r="C116" s="4" t="s">
        <v>118</v>
      </c>
      <c r="D116" s="4" t="str">
        <f t="shared" si="2"/>
        <v>AM202N/ALabor</v>
      </c>
      <c r="E116" s="7">
        <v>0.5</v>
      </c>
      <c r="F116" t="str">
        <f t="shared" si="3"/>
        <v>A</v>
      </c>
    </row>
    <row r="117" spans="1:6">
      <c r="A117" s="4" t="s">
        <v>220</v>
      </c>
      <c r="B117" s="4" t="s">
        <v>120</v>
      </c>
      <c r="C117" s="4" t="s">
        <v>118</v>
      </c>
      <c r="D117" s="4" t="str">
        <f t="shared" si="2"/>
        <v>AM203ConformanceLabor</v>
      </c>
      <c r="E117" s="7">
        <v>0.5</v>
      </c>
      <c r="F117" t="str">
        <f t="shared" si="3"/>
        <v>A</v>
      </c>
    </row>
    <row r="118" spans="1:6">
      <c r="A118" s="4" t="s">
        <v>220</v>
      </c>
      <c r="B118" s="4" t="s">
        <v>114</v>
      </c>
      <c r="C118" s="4" t="s">
        <v>118</v>
      </c>
      <c r="D118" s="4" t="str">
        <f t="shared" si="2"/>
        <v>AM203PriorityLabor</v>
      </c>
      <c r="E118" s="7">
        <v>0</v>
      </c>
      <c r="F118" t="str">
        <f t="shared" si="3"/>
        <v>A</v>
      </c>
    </row>
    <row r="119" spans="1:6">
      <c r="A119" s="4" t="s">
        <v>220</v>
      </c>
      <c r="B119" s="4" t="s">
        <v>112</v>
      </c>
      <c r="C119" s="4" t="s">
        <v>118</v>
      </c>
      <c r="D119" s="4" t="str">
        <f t="shared" si="2"/>
        <v>AM203MajorLabor</v>
      </c>
      <c r="E119" s="7">
        <v>0.1</v>
      </c>
      <c r="F119" t="str">
        <f t="shared" si="3"/>
        <v>A</v>
      </c>
    </row>
    <row r="120" spans="1:6">
      <c r="A120" s="4" t="s">
        <v>220</v>
      </c>
      <c r="B120" s="4" t="s">
        <v>185</v>
      </c>
      <c r="C120" s="4" t="s">
        <v>118</v>
      </c>
      <c r="D120" s="4" t="str">
        <f t="shared" si="2"/>
        <v>AM203MinorLabor</v>
      </c>
      <c r="E120" s="7">
        <v>0.3</v>
      </c>
      <c r="F120" t="str">
        <f t="shared" si="3"/>
        <v>A</v>
      </c>
    </row>
    <row r="121" spans="1:6">
      <c r="A121" s="4" t="s">
        <v>220</v>
      </c>
      <c r="B121" s="4" t="s">
        <v>374</v>
      </c>
      <c r="C121" s="4" t="s">
        <v>118</v>
      </c>
      <c r="D121" s="4" t="str">
        <f t="shared" si="2"/>
        <v>AM203N/ALabor</v>
      </c>
      <c r="E121" s="7">
        <v>0.5</v>
      </c>
      <c r="F121" t="str">
        <f t="shared" si="3"/>
        <v>A</v>
      </c>
    </row>
    <row r="122" spans="1:6">
      <c r="A122" s="4" t="s">
        <v>225</v>
      </c>
      <c r="B122" s="4" t="s">
        <v>120</v>
      </c>
      <c r="C122" s="4" t="s">
        <v>118</v>
      </c>
      <c r="D122" s="4" t="str">
        <f t="shared" si="2"/>
        <v>AM301ConformanceLabor</v>
      </c>
      <c r="E122" s="7">
        <v>0.5</v>
      </c>
      <c r="F122" t="str">
        <f t="shared" si="3"/>
        <v>A</v>
      </c>
    </row>
    <row r="123" spans="1:6">
      <c r="A123" s="4" t="s">
        <v>225</v>
      </c>
      <c r="B123" s="4" t="s">
        <v>114</v>
      </c>
      <c r="C123" s="4" t="s">
        <v>118</v>
      </c>
      <c r="D123" s="4" t="str">
        <f t="shared" si="2"/>
        <v>AM301PriorityLabor</v>
      </c>
      <c r="E123" s="7">
        <v>0</v>
      </c>
      <c r="F123" t="str">
        <f t="shared" si="3"/>
        <v>A</v>
      </c>
    </row>
    <row r="124" spans="1:6">
      <c r="A124" s="4" t="s">
        <v>225</v>
      </c>
      <c r="B124" s="4" t="s">
        <v>112</v>
      </c>
      <c r="C124" s="4" t="s">
        <v>118</v>
      </c>
      <c r="D124" s="4" t="str">
        <f t="shared" si="2"/>
        <v>AM301MajorLabor</v>
      </c>
      <c r="E124" s="7">
        <v>0.1</v>
      </c>
      <c r="F124" t="str">
        <f t="shared" si="3"/>
        <v>A</v>
      </c>
    </row>
    <row r="125" spans="1:6">
      <c r="A125" s="4" t="s">
        <v>225</v>
      </c>
      <c r="B125" s="4" t="s">
        <v>185</v>
      </c>
      <c r="C125" s="4" t="s">
        <v>118</v>
      </c>
      <c r="D125" s="4" t="str">
        <f t="shared" si="2"/>
        <v>AM301MinorLabor</v>
      </c>
      <c r="E125" s="7">
        <v>0.3</v>
      </c>
      <c r="F125" t="str">
        <f t="shared" si="3"/>
        <v>A</v>
      </c>
    </row>
    <row r="126" spans="1:6">
      <c r="A126" s="4" t="s">
        <v>225</v>
      </c>
      <c r="B126" s="4" t="s">
        <v>374</v>
      </c>
      <c r="C126" s="4" t="s">
        <v>118</v>
      </c>
      <c r="D126" s="4" t="str">
        <f t="shared" si="2"/>
        <v>AM301N/ALabor</v>
      </c>
      <c r="E126" s="7">
        <v>0.5</v>
      </c>
      <c r="F126" t="str">
        <f t="shared" si="3"/>
        <v>A</v>
      </c>
    </row>
    <row r="127" spans="1:6">
      <c r="A127" s="4" t="s">
        <v>229</v>
      </c>
      <c r="B127" s="4" t="s">
        <v>120</v>
      </c>
      <c r="C127" s="4" t="s">
        <v>118</v>
      </c>
      <c r="D127" s="4" t="str">
        <f t="shared" si="2"/>
        <v>AM302ConformanceLabor</v>
      </c>
      <c r="E127" s="7">
        <v>0.5</v>
      </c>
      <c r="F127" t="str">
        <f t="shared" si="3"/>
        <v>A</v>
      </c>
    </row>
    <row r="128" spans="1:6">
      <c r="A128" s="4" t="s">
        <v>229</v>
      </c>
      <c r="B128" s="4" t="s">
        <v>114</v>
      </c>
      <c r="C128" s="4" t="s">
        <v>118</v>
      </c>
      <c r="D128" s="4" t="str">
        <f t="shared" si="2"/>
        <v>AM302PriorityLabor</v>
      </c>
      <c r="E128" s="7">
        <v>0</v>
      </c>
      <c r="F128" t="str">
        <f t="shared" si="3"/>
        <v>A</v>
      </c>
    </row>
    <row r="129" spans="1:6">
      <c r="A129" s="4" t="s">
        <v>229</v>
      </c>
      <c r="B129" s="4" t="s">
        <v>112</v>
      </c>
      <c r="C129" s="4" t="s">
        <v>118</v>
      </c>
      <c r="D129" s="4" t="str">
        <f t="shared" si="2"/>
        <v>AM302MajorLabor</v>
      </c>
      <c r="E129" s="7">
        <v>0.1</v>
      </c>
      <c r="F129" t="str">
        <f t="shared" si="3"/>
        <v>A</v>
      </c>
    </row>
    <row r="130" spans="1:6">
      <c r="A130" s="4" t="s">
        <v>229</v>
      </c>
      <c r="B130" s="4" t="s">
        <v>185</v>
      </c>
      <c r="C130" s="4" t="s">
        <v>118</v>
      </c>
      <c r="D130" s="4" t="str">
        <f t="shared" si="2"/>
        <v>AM302MinorLabor</v>
      </c>
      <c r="E130" s="7">
        <v>0.3</v>
      </c>
      <c r="F130" t="str">
        <f t="shared" si="3"/>
        <v>A</v>
      </c>
    </row>
    <row r="131" spans="1:6">
      <c r="A131" s="4" t="s">
        <v>229</v>
      </c>
      <c r="B131" s="4" t="s">
        <v>374</v>
      </c>
      <c r="C131" s="4" t="s">
        <v>118</v>
      </c>
      <c r="D131" s="4" t="str">
        <f t="shared" ref="D131:D194" si="4">A131&amp;B131&amp;C131</f>
        <v>AM302N/ALabor</v>
      </c>
      <c r="E131" s="7">
        <v>0.5</v>
      </c>
      <c r="F131" t="str">
        <f t="shared" ref="F131:F194" si="5">+MID(A131,1,1)</f>
        <v>A</v>
      </c>
    </row>
    <row r="132" spans="1:6">
      <c r="A132" s="4" t="s">
        <v>234</v>
      </c>
      <c r="B132" s="4" t="s">
        <v>120</v>
      </c>
      <c r="C132" s="4" t="s">
        <v>118</v>
      </c>
      <c r="D132" s="4" t="str">
        <f t="shared" si="4"/>
        <v>AM401ConformanceLabor</v>
      </c>
      <c r="E132" s="7">
        <v>0.5</v>
      </c>
      <c r="F132" t="str">
        <f t="shared" si="5"/>
        <v>A</v>
      </c>
    </row>
    <row r="133" spans="1:6">
      <c r="A133" s="4" t="s">
        <v>234</v>
      </c>
      <c r="B133" s="4" t="s">
        <v>114</v>
      </c>
      <c r="C133" s="4" t="s">
        <v>118</v>
      </c>
      <c r="D133" s="4" t="str">
        <f t="shared" si="4"/>
        <v>AM401PriorityLabor</v>
      </c>
      <c r="E133" s="7">
        <v>0</v>
      </c>
      <c r="F133" t="str">
        <f t="shared" si="5"/>
        <v>A</v>
      </c>
    </row>
    <row r="134" spans="1:6">
      <c r="A134" s="4" t="s">
        <v>234</v>
      </c>
      <c r="B134" s="4" t="s">
        <v>112</v>
      </c>
      <c r="C134" s="4" t="s">
        <v>118</v>
      </c>
      <c r="D134" s="4" t="str">
        <f t="shared" si="4"/>
        <v>AM401MajorLabor</v>
      </c>
      <c r="E134" s="7">
        <v>0.1</v>
      </c>
      <c r="F134" t="str">
        <f t="shared" si="5"/>
        <v>A</v>
      </c>
    </row>
    <row r="135" spans="1:6">
      <c r="A135" s="4" t="s">
        <v>234</v>
      </c>
      <c r="B135" s="4" t="s">
        <v>185</v>
      </c>
      <c r="C135" s="4" t="s">
        <v>118</v>
      </c>
      <c r="D135" s="4" t="str">
        <f t="shared" si="4"/>
        <v>AM401MinorLabor</v>
      </c>
      <c r="E135" s="7">
        <v>0.3</v>
      </c>
      <c r="F135" t="str">
        <f t="shared" si="5"/>
        <v>A</v>
      </c>
    </row>
    <row r="136" spans="1:6">
      <c r="A136" s="4" t="s">
        <v>234</v>
      </c>
      <c r="B136" s="4" t="s">
        <v>374</v>
      </c>
      <c r="C136" s="4" t="s">
        <v>118</v>
      </c>
      <c r="D136" s="4" t="str">
        <f t="shared" si="4"/>
        <v>AM401N/ALabor</v>
      </c>
      <c r="E136" s="7">
        <v>0.5</v>
      </c>
      <c r="F136" t="str">
        <f t="shared" si="5"/>
        <v>A</v>
      </c>
    </row>
    <row r="137" spans="1:6">
      <c r="A137" s="4" t="s">
        <v>238</v>
      </c>
      <c r="B137" s="4" t="s">
        <v>120</v>
      </c>
      <c r="C137" s="4" t="s">
        <v>118</v>
      </c>
      <c r="D137" s="4" t="str">
        <f t="shared" si="4"/>
        <v>AM402ConformanceLabor</v>
      </c>
      <c r="E137" s="7">
        <v>0.5</v>
      </c>
      <c r="F137" t="str">
        <f t="shared" si="5"/>
        <v>A</v>
      </c>
    </row>
    <row r="138" spans="1:6">
      <c r="A138" s="4" t="s">
        <v>238</v>
      </c>
      <c r="B138" s="4" t="s">
        <v>114</v>
      </c>
      <c r="C138" s="4" t="s">
        <v>118</v>
      </c>
      <c r="D138" s="4" t="str">
        <f t="shared" si="4"/>
        <v>AM402PriorityLabor</v>
      </c>
      <c r="E138" s="7">
        <v>0</v>
      </c>
      <c r="F138" t="str">
        <f t="shared" si="5"/>
        <v>A</v>
      </c>
    </row>
    <row r="139" spans="1:6">
      <c r="A139" s="4" t="s">
        <v>238</v>
      </c>
      <c r="B139" s="4" t="s">
        <v>112</v>
      </c>
      <c r="C139" s="4" t="s">
        <v>118</v>
      </c>
      <c r="D139" s="4" t="str">
        <f t="shared" si="4"/>
        <v>AM402MajorLabor</v>
      </c>
      <c r="E139" s="7">
        <v>0.1</v>
      </c>
      <c r="F139" t="str">
        <f t="shared" si="5"/>
        <v>A</v>
      </c>
    </row>
    <row r="140" spans="1:6">
      <c r="A140" s="4" t="s">
        <v>238</v>
      </c>
      <c r="B140" s="4" t="s">
        <v>185</v>
      </c>
      <c r="C140" s="4" t="s">
        <v>118</v>
      </c>
      <c r="D140" s="4" t="str">
        <f t="shared" si="4"/>
        <v>AM402MinorLabor</v>
      </c>
      <c r="E140" s="7">
        <v>0.3</v>
      </c>
      <c r="F140" t="str">
        <f t="shared" si="5"/>
        <v>A</v>
      </c>
    </row>
    <row r="141" spans="1:6">
      <c r="A141" s="4" t="s">
        <v>238</v>
      </c>
      <c r="B141" s="4" t="s">
        <v>374</v>
      </c>
      <c r="C141" s="4" t="s">
        <v>118</v>
      </c>
      <c r="D141" s="4" t="str">
        <f t="shared" si="4"/>
        <v>AM402N/ALabor</v>
      </c>
      <c r="E141" s="7">
        <v>0.5</v>
      </c>
      <c r="F141" t="str">
        <f t="shared" si="5"/>
        <v>A</v>
      </c>
    </row>
    <row r="142" spans="1:6">
      <c r="A142" s="4" t="s">
        <v>242</v>
      </c>
      <c r="B142" s="4" t="s">
        <v>120</v>
      </c>
      <c r="C142" s="4" t="s">
        <v>118</v>
      </c>
      <c r="D142" s="4" t="str">
        <f t="shared" si="4"/>
        <v>AM403ConformanceLabor</v>
      </c>
      <c r="E142" s="7">
        <v>0.5</v>
      </c>
      <c r="F142" t="str">
        <f t="shared" si="5"/>
        <v>A</v>
      </c>
    </row>
    <row r="143" spans="1:6">
      <c r="A143" s="4" t="s">
        <v>242</v>
      </c>
      <c r="B143" s="4" t="s">
        <v>114</v>
      </c>
      <c r="C143" s="4" t="s">
        <v>118</v>
      </c>
      <c r="D143" s="4" t="str">
        <f t="shared" si="4"/>
        <v>AM403PriorityLabor</v>
      </c>
      <c r="E143" s="7">
        <v>0</v>
      </c>
      <c r="F143" t="str">
        <f t="shared" si="5"/>
        <v>A</v>
      </c>
    </row>
    <row r="144" spans="1:6">
      <c r="A144" s="4" t="s">
        <v>242</v>
      </c>
      <c r="B144" s="4" t="s">
        <v>112</v>
      </c>
      <c r="C144" s="4" t="s">
        <v>118</v>
      </c>
      <c r="D144" s="4" t="str">
        <f t="shared" si="4"/>
        <v>AM403MajorLabor</v>
      </c>
      <c r="E144" s="7">
        <v>0.1</v>
      </c>
      <c r="F144" t="str">
        <f t="shared" si="5"/>
        <v>A</v>
      </c>
    </row>
    <row r="145" spans="1:6">
      <c r="A145" s="4" t="s">
        <v>242</v>
      </c>
      <c r="B145" s="4" t="s">
        <v>185</v>
      </c>
      <c r="C145" s="4" t="s">
        <v>118</v>
      </c>
      <c r="D145" s="4" t="str">
        <f t="shared" si="4"/>
        <v>AM403MinorLabor</v>
      </c>
      <c r="E145" s="7">
        <v>0.3</v>
      </c>
      <c r="F145" t="str">
        <f t="shared" si="5"/>
        <v>A</v>
      </c>
    </row>
    <row r="146" spans="1:6">
      <c r="A146" s="4" t="s">
        <v>242</v>
      </c>
      <c r="B146" s="4" t="s">
        <v>374</v>
      </c>
      <c r="C146" s="4" t="s">
        <v>118</v>
      </c>
      <c r="D146" s="4" t="str">
        <f t="shared" si="4"/>
        <v>AM403N/ALabor</v>
      </c>
      <c r="E146" s="7">
        <v>0.5</v>
      </c>
      <c r="F146" t="str">
        <f t="shared" si="5"/>
        <v>A</v>
      </c>
    </row>
    <row r="147" spans="1:6">
      <c r="A147" s="8" t="s">
        <v>375</v>
      </c>
      <c r="B147" s="8" t="s">
        <v>120</v>
      </c>
      <c r="C147" s="8" t="s">
        <v>376</v>
      </c>
      <c r="D147" s="8" t="str">
        <f t="shared" si="4"/>
        <v>BH101ConformanceEHS</v>
      </c>
      <c r="E147" s="9">
        <v>3</v>
      </c>
      <c r="F147" t="str">
        <f t="shared" si="5"/>
        <v>B</v>
      </c>
    </row>
    <row r="148" spans="1:6">
      <c r="A148" s="8" t="s">
        <v>375</v>
      </c>
      <c r="B148" s="8" t="s">
        <v>114</v>
      </c>
      <c r="C148" s="8" t="s">
        <v>376</v>
      </c>
      <c r="D148" s="8" t="str">
        <f t="shared" si="4"/>
        <v>BH101PriorityEHS</v>
      </c>
      <c r="E148" s="9">
        <v>0</v>
      </c>
      <c r="F148" t="str">
        <f t="shared" si="5"/>
        <v>B</v>
      </c>
    </row>
    <row r="149" spans="1:6">
      <c r="A149" s="8" t="s">
        <v>375</v>
      </c>
      <c r="B149" s="8" t="s">
        <v>112</v>
      </c>
      <c r="C149" s="8" t="s">
        <v>376</v>
      </c>
      <c r="D149" s="8" t="str">
        <f t="shared" si="4"/>
        <v>BH101MajorEHS</v>
      </c>
      <c r="E149" s="9">
        <v>1</v>
      </c>
      <c r="F149" t="str">
        <f t="shared" si="5"/>
        <v>B</v>
      </c>
    </row>
    <row r="150" spans="1:6">
      <c r="A150" s="8" t="s">
        <v>375</v>
      </c>
      <c r="B150" s="8" t="s">
        <v>185</v>
      </c>
      <c r="C150" s="8" t="s">
        <v>376</v>
      </c>
      <c r="D150" s="8" t="str">
        <f t="shared" si="4"/>
        <v>BH101MinorEHS</v>
      </c>
      <c r="E150" s="9">
        <v>2</v>
      </c>
      <c r="F150" t="str">
        <f t="shared" si="5"/>
        <v>B</v>
      </c>
    </row>
    <row r="151" spans="1:6">
      <c r="A151" s="8" t="s">
        <v>375</v>
      </c>
      <c r="B151" s="8" t="s">
        <v>374</v>
      </c>
      <c r="C151" s="8" t="s">
        <v>376</v>
      </c>
      <c r="D151" s="8" t="str">
        <f t="shared" si="4"/>
        <v>BH101N/AEHS</v>
      </c>
      <c r="E151" s="9">
        <v>3</v>
      </c>
      <c r="F151" t="str">
        <f t="shared" si="5"/>
        <v>B</v>
      </c>
    </row>
    <row r="152" spans="1:6">
      <c r="A152" s="8" t="s">
        <v>377</v>
      </c>
      <c r="B152" s="8" t="s">
        <v>120</v>
      </c>
      <c r="C152" s="8" t="s">
        <v>376</v>
      </c>
      <c r="D152" s="8" t="str">
        <f t="shared" si="4"/>
        <v>BH102ConformanceEHS</v>
      </c>
      <c r="E152" s="9">
        <v>5</v>
      </c>
      <c r="F152" t="str">
        <f t="shared" si="5"/>
        <v>B</v>
      </c>
    </row>
    <row r="153" spans="1:6">
      <c r="A153" s="8" t="s">
        <v>377</v>
      </c>
      <c r="B153" s="8" t="s">
        <v>114</v>
      </c>
      <c r="C153" s="8" t="s">
        <v>376</v>
      </c>
      <c r="D153" s="8" t="str">
        <f t="shared" si="4"/>
        <v>BH102PriorityEHS</v>
      </c>
      <c r="E153" s="9">
        <v>0</v>
      </c>
      <c r="F153" t="str">
        <f t="shared" si="5"/>
        <v>B</v>
      </c>
    </row>
    <row r="154" spans="1:6">
      <c r="A154" s="8" t="s">
        <v>377</v>
      </c>
      <c r="B154" s="8" t="s">
        <v>112</v>
      </c>
      <c r="C154" s="8" t="s">
        <v>376</v>
      </c>
      <c r="D154" s="8" t="str">
        <f t="shared" si="4"/>
        <v>BH102MajorEHS</v>
      </c>
      <c r="E154" s="9">
        <v>1</v>
      </c>
      <c r="F154" t="str">
        <f t="shared" si="5"/>
        <v>B</v>
      </c>
    </row>
    <row r="155" spans="1:6">
      <c r="A155" s="8" t="s">
        <v>377</v>
      </c>
      <c r="B155" s="8" t="s">
        <v>185</v>
      </c>
      <c r="C155" s="8" t="s">
        <v>376</v>
      </c>
      <c r="D155" s="8" t="str">
        <f t="shared" si="4"/>
        <v>BH102MinorEHS</v>
      </c>
      <c r="E155" s="9">
        <v>3</v>
      </c>
      <c r="F155" t="str">
        <f t="shared" si="5"/>
        <v>B</v>
      </c>
    </row>
    <row r="156" spans="1:6">
      <c r="A156" s="8" t="s">
        <v>377</v>
      </c>
      <c r="B156" s="8" t="s">
        <v>374</v>
      </c>
      <c r="C156" s="8" t="s">
        <v>376</v>
      </c>
      <c r="D156" s="8" t="str">
        <f t="shared" si="4"/>
        <v>BH102N/AEHS</v>
      </c>
      <c r="E156" s="9">
        <v>5</v>
      </c>
      <c r="F156" t="str">
        <f t="shared" si="5"/>
        <v>B</v>
      </c>
    </row>
    <row r="157" spans="1:6">
      <c r="A157" s="8" t="s">
        <v>378</v>
      </c>
      <c r="B157" s="8" t="s">
        <v>120</v>
      </c>
      <c r="C157" s="8" t="s">
        <v>376</v>
      </c>
      <c r="D157" s="8" t="str">
        <f t="shared" si="4"/>
        <v>BH103ConformanceEHS</v>
      </c>
      <c r="E157" s="9">
        <v>2</v>
      </c>
      <c r="F157" t="str">
        <f t="shared" si="5"/>
        <v>B</v>
      </c>
    </row>
    <row r="158" spans="1:6">
      <c r="A158" s="8" t="s">
        <v>378</v>
      </c>
      <c r="B158" s="8" t="s">
        <v>114</v>
      </c>
      <c r="C158" s="8" t="s">
        <v>376</v>
      </c>
      <c r="D158" s="8" t="str">
        <f t="shared" si="4"/>
        <v>BH103PriorityEHS</v>
      </c>
      <c r="E158" s="9">
        <v>0</v>
      </c>
      <c r="F158" t="str">
        <f t="shared" si="5"/>
        <v>B</v>
      </c>
    </row>
    <row r="159" spans="1:6">
      <c r="A159" s="8" t="s">
        <v>378</v>
      </c>
      <c r="B159" s="8" t="s">
        <v>112</v>
      </c>
      <c r="C159" s="8" t="s">
        <v>376</v>
      </c>
      <c r="D159" s="8" t="str">
        <f t="shared" si="4"/>
        <v>BH103MajorEHS</v>
      </c>
      <c r="E159" s="9">
        <v>0.5</v>
      </c>
      <c r="F159" t="str">
        <f t="shared" si="5"/>
        <v>B</v>
      </c>
    </row>
    <row r="160" spans="1:6">
      <c r="A160" s="8" t="s">
        <v>378</v>
      </c>
      <c r="B160" s="8" t="s">
        <v>185</v>
      </c>
      <c r="C160" s="8" t="s">
        <v>376</v>
      </c>
      <c r="D160" s="8" t="str">
        <f t="shared" si="4"/>
        <v>BH103MinorEHS</v>
      </c>
      <c r="E160" s="9">
        <v>1</v>
      </c>
      <c r="F160" t="str">
        <f t="shared" si="5"/>
        <v>B</v>
      </c>
    </row>
    <row r="161" spans="1:6">
      <c r="A161" s="8" t="s">
        <v>378</v>
      </c>
      <c r="B161" s="8" t="s">
        <v>374</v>
      </c>
      <c r="C161" s="8" t="s">
        <v>376</v>
      </c>
      <c r="D161" s="8" t="str">
        <f t="shared" si="4"/>
        <v>BH103N/AEHS</v>
      </c>
      <c r="E161" s="9">
        <v>2</v>
      </c>
      <c r="F161" t="str">
        <f t="shared" si="5"/>
        <v>B</v>
      </c>
    </row>
    <row r="162" spans="1:6">
      <c r="A162" s="8" t="s">
        <v>379</v>
      </c>
      <c r="B162" s="8" t="s">
        <v>120</v>
      </c>
      <c r="C162" s="8" t="s">
        <v>376</v>
      </c>
      <c r="D162" s="8" t="str">
        <f t="shared" si="4"/>
        <v>BH201ConformanceEHS</v>
      </c>
      <c r="E162" s="9">
        <v>6</v>
      </c>
      <c r="F162" t="str">
        <f t="shared" si="5"/>
        <v>B</v>
      </c>
    </row>
    <row r="163" spans="1:6">
      <c r="A163" s="8" t="s">
        <v>379</v>
      </c>
      <c r="B163" s="8" t="s">
        <v>114</v>
      </c>
      <c r="C163" s="8" t="s">
        <v>376</v>
      </c>
      <c r="D163" s="8" t="str">
        <f t="shared" si="4"/>
        <v>BH201PriorityEHS</v>
      </c>
      <c r="E163" s="9">
        <v>0</v>
      </c>
      <c r="F163" t="str">
        <f t="shared" si="5"/>
        <v>B</v>
      </c>
    </row>
    <row r="164" spans="1:6">
      <c r="A164" s="8" t="s">
        <v>379</v>
      </c>
      <c r="B164" s="8" t="s">
        <v>112</v>
      </c>
      <c r="C164" s="8" t="s">
        <v>376</v>
      </c>
      <c r="D164" s="8" t="str">
        <f t="shared" si="4"/>
        <v>BH201MajorEHS</v>
      </c>
      <c r="E164" s="9">
        <v>2</v>
      </c>
      <c r="F164" t="str">
        <f t="shared" si="5"/>
        <v>B</v>
      </c>
    </row>
    <row r="165" spans="1:6">
      <c r="A165" s="8" t="s">
        <v>379</v>
      </c>
      <c r="B165" s="8" t="s">
        <v>185</v>
      </c>
      <c r="C165" s="8" t="s">
        <v>376</v>
      </c>
      <c r="D165" s="8" t="str">
        <f t="shared" si="4"/>
        <v>BH201MinorEHS</v>
      </c>
      <c r="E165" s="9">
        <v>4</v>
      </c>
      <c r="F165" t="str">
        <f t="shared" si="5"/>
        <v>B</v>
      </c>
    </row>
    <row r="166" spans="1:6">
      <c r="A166" s="8" t="s">
        <v>379</v>
      </c>
      <c r="B166" s="8" t="s">
        <v>374</v>
      </c>
      <c r="C166" s="8" t="s">
        <v>376</v>
      </c>
      <c r="D166" s="8" t="str">
        <f t="shared" si="4"/>
        <v>BH201N/AEHS</v>
      </c>
      <c r="E166" s="9">
        <v>6</v>
      </c>
      <c r="F166" t="str">
        <f t="shared" si="5"/>
        <v>B</v>
      </c>
    </row>
    <row r="167" spans="1:6">
      <c r="A167" s="8" t="s">
        <v>380</v>
      </c>
      <c r="B167" s="8" t="s">
        <v>120</v>
      </c>
      <c r="C167" s="8" t="s">
        <v>376</v>
      </c>
      <c r="D167" s="8" t="str">
        <f t="shared" si="4"/>
        <v>BH202ConformanceEHS</v>
      </c>
      <c r="E167" s="9">
        <v>3</v>
      </c>
      <c r="F167" t="str">
        <f t="shared" si="5"/>
        <v>B</v>
      </c>
    </row>
    <row r="168" spans="1:6">
      <c r="A168" s="8" t="s">
        <v>380</v>
      </c>
      <c r="B168" s="8" t="s">
        <v>114</v>
      </c>
      <c r="C168" s="8" t="s">
        <v>376</v>
      </c>
      <c r="D168" s="8" t="str">
        <f t="shared" si="4"/>
        <v>BH202PriorityEHS</v>
      </c>
      <c r="E168" s="9">
        <v>0</v>
      </c>
      <c r="F168" t="str">
        <f t="shared" si="5"/>
        <v>B</v>
      </c>
    </row>
    <row r="169" spans="1:6">
      <c r="A169" s="8" t="s">
        <v>380</v>
      </c>
      <c r="B169" s="8" t="s">
        <v>112</v>
      </c>
      <c r="C169" s="8" t="s">
        <v>376</v>
      </c>
      <c r="D169" s="8" t="str">
        <f t="shared" si="4"/>
        <v>BH202MajorEHS</v>
      </c>
      <c r="E169" s="9">
        <v>1</v>
      </c>
      <c r="F169" t="str">
        <f t="shared" si="5"/>
        <v>B</v>
      </c>
    </row>
    <row r="170" spans="1:6">
      <c r="A170" s="8" t="s">
        <v>380</v>
      </c>
      <c r="B170" s="8" t="s">
        <v>185</v>
      </c>
      <c r="C170" s="8" t="s">
        <v>376</v>
      </c>
      <c r="D170" s="8" t="str">
        <f t="shared" si="4"/>
        <v>BH202MinorEHS</v>
      </c>
      <c r="E170" s="9">
        <v>2</v>
      </c>
      <c r="F170" t="str">
        <f t="shared" si="5"/>
        <v>B</v>
      </c>
    </row>
    <row r="171" spans="1:6">
      <c r="A171" s="8" t="s">
        <v>380</v>
      </c>
      <c r="B171" s="8" t="s">
        <v>374</v>
      </c>
      <c r="C171" s="8" t="s">
        <v>376</v>
      </c>
      <c r="D171" s="8" t="str">
        <f t="shared" si="4"/>
        <v>BH202N/AEHS</v>
      </c>
      <c r="E171" s="9">
        <v>3</v>
      </c>
      <c r="F171" t="str">
        <f t="shared" si="5"/>
        <v>B</v>
      </c>
    </row>
    <row r="172" spans="1:6">
      <c r="A172" s="8" t="s">
        <v>381</v>
      </c>
      <c r="B172" s="8" t="s">
        <v>120</v>
      </c>
      <c r="C172" s="8" t="s">
        <v>376</v>
      </c>
      <c r="D172" s="8" t="str">
        <f t="shared" si="4"/>
        <v>BH203ConformanceEHS</v>
      </c>
      <c r="E172" s="9">
        <v>3</v>
      </c>
      <c r="F172" t="str">
        <f t="shared" si="5"/>
        <v>B</v>
      </c>
    </row>
    <row r="173" spans="1:6">
      <c r="A173" s="8" t="s">
        <v>381</v>
      </c>
      <c r="B173" s="8" t="s">
        <v>114</v>
      </c>
      <c r="C173" s="8" t="s">
        <v>376</v>
      </c>
      <c r="D173" s="8" t="str">
        <f t="shared" si="4"/>
        <v>BH203PriorityEHS</v>
      </c>
      <c r="E173" s="9">
        <v>0</v>
      </c>
      <c r="F173" t="str">
        <f t="shared" si="5"/>
        <v>B</v>
      </c>
    </row>
    <row r="174" spans="1:6">
      <c r="A174" s="8" t="s">
        <v>381</v>
      </c>
      <c r="B174" s="8" t="s">
        <v>112</v>
      </c>
      <c r="C174" s="8" t="s">
        <v>376</v>
      </c>
      <c r="D174" s="8" t="str">
        <f t="shared" si="4"/>
        <v>BH203MajorEHS</v>
      </c>
      <c r="E174" s="9">
        <v>1</v>
      </c>
      <c r="F174" t="str">
        <f t="shared" si="5"/>
        <v>B</v>
      </c>
    </row>
    <row r="175" spans="1:6">
      <c r="A175" s="8" t="s">
        <v>381</v>
      </c>
      <c r="B175" s="8" t="s">
        <v>185</v>
      </c>
      <c r="C175" s="8" t="s">
        <v>376</v>
      </c>
      <c r="D175" s="8" t="str">
        <f t="shared" si="4"/>
        <v>BH203MinorEHS</v>
      </c>
      <c r="E175" s="9">
        <v>2</v>
      </c>
      <c r="F175" t="str">
        <f t="shared" si="5"/>
        <v>B</v>
      </c>
    </row>
    <row r="176" spans="1:6">
      <c r="A176" s="8" t="s">
        <v>381</v>
      </c>
      <c r="B176" s="8" t="s">
        <v>374</v>
      </c>
      <c r="C176" s="8" t="s">
        <v>376</v>
      </c>
      <c r="D176" s="8" t="str">
        <f t="shared" si="4"/>
        <v>BH203N/AEHS</v>
      </c>
      <c r="E176" s="9">
        <v>3</v>
      </c>
      <c r="F176" t="str">
        <f t="shared" si="5"/>
        <v>B</v>
      </c>
    </row>
    <row r="177" spans="1:6">
      <c r="A177" s="8" t="s">
        <v>382</v>
      </c>
      <c r="B177" s="8" t="s">
        <v>120</v>
      </c>
      <c r="C177" s="8" t="s">
        <v>376</v>
      </c>
      <c r="D177" s="8" t="str">
        <f t="shared" si="4"/>
        <v>BH204ConformanceEHS</v>
      </c>
      <c r="E177" s="9">
        <v>2</v>
      </c>
      <c r="F177" t="str">
        <f t="shared" si="5"/>
        <v>B</v>
      </c>
    </row>
    <row r="178" spans="1:6">
      <c r="A178" s="8" t="s">
        <v>382</v>
      </c>
      <c r="B178" s="8" t="s">
        <v>114</v>
      </c>
      <c r="C178" s="8" t="s">
        <v>376</v>
      </c>
      <c r="D178" s="8" t="str">
        <f t="shared" si="4"/>
        <v>BH204PriorityEHS</v>
      </c>
      <c r="E178" s="9">
        <v>0</v>
      </c>
      <c r="F178" t="str">
        <f t="shared" si="5"/>
        <v>B</v>
      </c>
    </row>
    <row r="179" spans="1:6">
      <c r="A179" s="8" t="s">
        <v>382</v>
      </c>
      <c r="B179" s="8" t="s">
        <v>112</v>
      </c>
      <c r="C179" s="8" t="s">
        <v>376</v>
      </c>
      <c r="D179" s="8" t="str">
        <f t="shared" si="4"/>
        <v>BH204MajorEHS</v>
      </c>
      <c r="E179" s="9">
        <v>0.5</v>
      </c>
      <c r="F179" t="str">
        <f t="shared" si="5"/>
        <v>B</v>
      </c>
    </row>
    <row r="180" spans="1:6">
      <c r="A180" s="8" t="s">
        <v>382</v>
      </c>
      <c r="B180" s="8" t="s">
        <v>185</v>
      </c>
      <c r="C180" s="8" t="s">
        <v>376</v>
      </c>
      <c r="D180" s="8" t="str">
        <f t="shared" si="4"/>
        <v>BH204MinorEHS</v>
      </c>
      <c r="E180" s="9">
        <v>1</v>
      </c>
      <c r="F180" t="str">
        <f t="shared" si="5"/>
        <v>B</v>
      </c>
    </row>
    <row r="181" spans="1:6">
      <c r="A181" s="8" t="s">
        <v>382</v>
      </c>
      <c r="B181" s="8" t="s">
        <v>374</v>
      </c>
      <c r="C181" s="8" t="s">
        <v>376</v>
      </c>
      <c r="D181" s="8" t="str">
        <f t="shared" si="4"/>
        <v>BH204N/AEHS</v>
      </c>
      <c r="E181" s="9">
        <v>2</v>
      </c>
      <c r="F181" t="str">
        <f t="shared" si="5"/>
        <v>B</v>
      </c>
    </row>
    <row r="182" spans="1:6">
      <c r="A182" s="8" t="s">
        <v>383</v>
      </c>
      <c r="B182" s="8" t="s">
        <v>120</v>
      </c>
      <c r="C182" s="8" t="s">
        <v>376</v>
      </c>
      <c r="D182" s="8" t="str">
        <f t="shared" si="4"/>
        <v>BH301ConformanceEHS</v>
      </c>
      <c r="E182" s="9">
        <v>2</v>
      </c>
      <c r="F182" t="str">
        <f t="shared" si="5"/>
        <v>B</v>
      </c>
    </row>
    <row r="183" spans="1:6">
      <c r="A183" s="8" t="s">
        <v>383</v>
      </c>
      <c r="B183" s="8" t="s">
        <v>114</v>
      </c>
      <c r="C183" s="8" t="s">
        <v>376</v>
      </c>
      <c r="D183" s="8" t="str">
        <f t="shared" si="4"/>
        <v>BH301PriorityEHS</v>
      </c>
      <c r="E183" s="9">
        <v>0</v>
      </c>
      <c r="F183" t="str">
        <f t="shared" si="5"/>
        <v>B</v>
      </c>
    </row>
    <row r="184" spans="1:6">
      <c r="A184" s="8" t="s">
        <v>383</v>
      </c>
      <c r="B184" s="8" t="s">
        <v>112</v>
      </c>
      <c r="C184" s="8" t="s">
        <v>376</v>
      </c>
      <c r="D184" s="8" t="str">
        <f t="shared" si="4"/>
        <v>BH301MajorEHS</v>
      </c>
      <c r="E184" s="9">
        <v>0.5</v>
      </c>
      <c r="F184" t="str">
        <f t="shared" si="5"/>
        <v>B</v>
      </c>
    </row>
    <row r="185" spans="1:6">
      <c r="A185" s="8" t="s">
        <v>383</v>
      </c>
      <c r="B185" s="8" t="s">
        <v>185</v>
      </c>
      <c r="C185" s="8" t="s">
        <v>376</v>
      </c>
      <c r="D185" s="8" t="str">
        <f t="shared" si="4"/>
        <v>BH301MinorEHS</v>
      </c>
      <c r="E185" s="9">
        <v>1</v>
      </c>
      <c r="F185" t="str">
        <f t="shared" si="5"/>
        <v>B</v>
      </c>
    </row>
    <row r="186" spans="1:6">
      <c r="A186" s="8" t="s">
        <v>383</v>
      </c>
      <c r="B186" s="8" t="s">
        <v>374</v>
      </c>
      <c r="C186" s="8" t="s">
        <v>376</v>
      </c>
      <c r="D186" s="8" t="str">
        <f t="shared" si="4"/>
        <v>BH301N/AEHS</v>
      </c>
      <c r="E186" s="9">
        <v>2</v>
      </c>
      <c r="F186" t="str">
        <f t="shared" si="5"/>
        <v>B</v>
      </c>
    </row>
    <row r="187" spans="1:6">
      <c r="A187" s="8" t="s">
        <v>384</v>
      </c>
      <c r="B187" s="8" t="s">
        <v>120</v>
      </c>
      <c r="C187" s="8" t="s">
        <v>376</v>
      </c>
      <c r="D187" s="8" t="str">
        <f t="shared" si="4"/>
        <v>BH302ConformanceEHS</v>
      </c>
      <c r="E187" s="9">
        <v>2</v>
      </c>
      <c r="F187" t="str">
        <f t="shared" si="5"/>
        <v>B</v>
      </c>
    </row>
    <row r="188" spans="1:6">
      <c r="A188" s="8" t="s">
        <v>384</v>
      </c>
      <c r="B188" s="8" t="s">
        <v>114</v>
      </c>
      <c r="C188" s="8" t="s">
        <v>376</v>
      </c>
      <c r="D188" s="8" t="str">
        <f t="shared" si="4"/>
        <v>BH302PriorityEHS</v>
      </c>
      <c r="E188" s="9">
        <v>0</v>
      </c>
      <c r="F188" t="str">
        <f t="shared" si="5"/>
        <v>B</v>
      </c>
    </row>
    <row r="189" spans="1:6">
      <c r="A189" s="8" t="s">
        <v>384</v>
      </c>
      <c r="B189" s="8" t="s">
        <v>112</v>
      </c>
      <c r="C189" s="8" t="s">
        <v>376</v>
      </c>
      <c r="D189" s="8" t="str">
        <f t="shared" si="4"/>
        <v>BH302MajorEHS</v>
      </c>
      <c r="E189" s="9">
        <v>0.5</v>
      </c>
      <c r="F189" t="str">
        <f t="shared" si="5"/>
        <v>B</v>
      </c>
    </row>
    <row r="190" spans="1:6">
      <c r="A190" s="8" t="s">
        <v>384</v>
      </c>
      <c r="B190" s="8" t="s">
        <v>185</v>
      </c>
      <c r="C190" s="8" t="s">
        <v>376</v>
      </c>
      <c r="D190" s="8" t="str">
        <f t="shared" si="4"/>
        <v>BH302MinorEHS</v>
      </c>
      <c r="E190" s="9">
        <v>1</v>
      </c>
      <c r="F190" t="str">
        <f t="shared" si="5"/>
        <v>B</v>
      </c>
    </row>
    <row r="191" spans="1:6">
      <c r="A191" s="8" t="s">
        <v>384</v>
      </c>
      <c r="B191" s="8" t="s">
        <v>374</v>
      </c>
      <c r="C191" s="8" t="s">
        <v>376</v>
      </c>
      <c r="D191" s="8" t="str">
        <f t="shared" si="4"/>
        <v>BH302N/AEHS</v>
      </c>
      <c r="E191" s="9">
        <v>2</v>
      </c>
      <c r="F191" t="str">
        <f t="shared" si="5"/>
        <v>B</v>
      </c>
    </row>
    <row r="192" spans="1:6">
      <c r="A192" s="8" t="s">
        <v>385</v>
      </c>
      <c r="B192" s="8" t="s">
        <v>120</v>
      </c>
      <c r="C192" s="8" t="s">
        <v>376</v>
      </c>
      <c r="D192" s="8" t="str">
        <f t="shared" si="4"/>
        <v>BH401ConformanceEHS</v>
      </c>
      <c r="E192" s="9">
        <v>6</v>
      </c>
      <c r="F192" t="str">
        <f t="shared" si="5"/>
        <v>B</v>
      </c>
    </row>
    <row r="193" spans="1:6">
      <c r="A193" s="8" t="s">
        <v>385</v>
      </c>
      <c r="B193" s="8" t="s">
        <v>114</v>
      </c>
      <c r="C193" s="8" t="s">
        <v>376</v>
      </c>
      <c r="D193" s="8" t="str">
        <f t="shared" si="4"/>
        <v>BH401PriorityEHS</v>
      </c>
      <c r="E193" s="9">
        <v>0</v>
      </c>
      <c r="F193" t="str">
        <f t="shared" si="5"/>
        <v>B</v>
      </c>
    </row>
    <row r="194" spans="1:6">
      <c r="A194" s="8" t="s">
        <v>385</v>
      </c>
      <c r="B194" s="8" t="s">
        <v>112</v>
      </c>
      <c r="C194" s="8" t="s">
        <v>376</v>
      </c>
      <c r="D194" s="8" t="str">
        <f t="shared" si="4"/>
        <v>BH401MajorEHS</v>
      </c>
      <c r="E194" s="9">
        <v>2</v>
      </c>
      <c r="F194" t="str">
        <f t="shared" si="5"/>
        <v>B</v>
      </c>
    </row>
    <row r="195" spans="1:6">
      <c r="A195" s="8" t="s">
        <v>385</v>
      </c>
      <c r="B195" s="8" t="s">
        <v>185</v>
      </c>
      <c r="C195" s="8" t="s">
        <v>376</v>
      </c>
      <c r="D195" s="8" t="str">
        <f t="shared" ref="D195:D258" si="6">A195&amp;B195&amp;C195</f>
        <v>BH401MinorEHS</v>
      </c>
      <c r="E195" s="9">
        <v>4</v>
      </c>
      <c r="F195" t="str">
        <f t="shared" ref="F195:F258" si="7">+MID(A195,1,1)</f>
        <v>B</v>
      </c>
    </row>
    <row r="196" spans="1:6">
      <c r="A196" s="8" t="s">
        <v>385</v>
      </c>
      <c r="B196" s="8" t="s">
        <v>374</v>
      </c>
      <c r="C196" s="8" t="s">
        <v>376</v>
      </c>
      <c r="D196" s="8" t="str">
        <f t="shared" si="6"/>
        <v>BH401N/AEHS</v>
      </c>
      <c r="E196" s="9">
        <v>6</v>
      </c>
      <c r="F196" t="str">
        <f t="shared" si="7"/>
        <v>B</v>
      </c>
    </row>
    <row r="197" spans="1:6">
      <c r="A197" s="8" t="s">
        <v>386</v>
      </c>
      <c r="B197" s="8" t="s">
        <v>120</v>
      </c>
      <c r="C197" s="8" t="s">
        <v>376</v>
      </c>
      <c r="D197" s="8" t="str">
        <f t="shared" si="6"/>
        <v>BH501ConformanceEHS</v>
      </c>
      <c r="E197" s="9">
        <v>2</v>
      </c>
      <c r="F197" t="str">
        <f t="shared" si="7"/>
        <v>B</v>
      </c>
    </row>
    <row r="198" spans="1:6">
      <c r="A198" s="8" t="s">
        <v>386</v>
      </c>
      <c r="B198" s="8" t="s">
        <v>114</v>
      </c>
      <c r="C198" s="8" t="s">
        <v>376</v>
      </c>
      <c r="D198" s="8" t="str">
        <f t="shared" si="6"/>
        <v>BH501PriorityEHS</v>
      </c>
      <c r="E198" s="9">
        <v>0</v>
      </c>
      <c r="F198" t="str">
        <f t="shared" si="7"/>
        <v>B</v>
      </c>
    </row>
    <row r="199" spans="1:6">
      <c r="A199" s="8" t="s">
        <v>386</v>
      </c>
      <c r="B199" s="8" t="s">
        <v>112</v>
      </c>
      <c r="C199" s="8" t="s">
        <v>376</v>
      </c>
      <c r="D199" s="8" t="str">
        <f t="shared" si="6"/>
        <v>BH501MajorEHS</v>
      </c>
      <c r="E199" s="9">
        <v>0.5</v>
      </c>
      <c r="F199" t="str">
        <f t="shared" si="7"/>
        <v>B</v>
      </c>
    </row>
    <row r="200" spans="1:6">
      <c r="A200" s="8" t="s">
        <v>386</v>
      </c>
      <c r="B200" s="8" t="s">
        <v>185</v>
      </c>
      <c r="C200" s="8" t="s">
        <v>376</v>
      </c>
      <c r="D200" s="8" t="str">
        <f t="shared" si="6"/>
        <v>BH501MinorEHS</v>
      </c>
      <c r="E200" s="9">
        <v>1</v>
      </c>
      <c r="F200" t="str">
        <f t="shared" si="7"/>
        <v>B</v>
      </c>
    </row>
    <row r="201" spans="1:6">
      <c r="A201" s="8" t="s">
        <v>386</v>
      </c>
      <c r="B201" s="8" t="s">
        <v>374</v>
      </c>
      <c r="C201" s="8" t="s">
        <v>376</v>
      </c>
      <c r="D201" s="8" t="str">
        <f t="shared" si="6"/>
        <v>BH501N/AEHS</v>
      </c>
      <c r="E201" s="9">
        <v>2</v>
      </c>
      <c r="F201" t="str">
        <f t="shared" si="7"/>
        <v>B</v>
      </c>
    </row>
    <row r="202" spans="1:6">
      <c r="A202" s="8" t="s">
        <v>387</v>
      </c>
      <c r="B202" s="8" t="s">
        <v>120</v>
      </c>
      <c r="C202" s="8" t="s">
        <v>376</v>
      </c>
      <c r="D202" s="8" t="str">
        <f t="shared" si="6"/>
        <v>BH601ConformanceEHS</v>
      </c>
      <c r="E202" s="9">
        <v>6</v>
      </c>
      <c r="F202" t="str">
        <f t="shared" si="7"/>
        <v>B</v>
      </c>
    </row>
    <row r="203" spans="1:6">
      <c r="A203" s="8" t="s">
        <v>387</v>
      </c>
      <c r="B203" s="8" t="s">
        <v>114</v>
      </c>
      <c r="C203" s="8" t="s">
        <v>376</v>
      </c>
      <c r="D203" s="8" t="str">
        <f t="shared" si="6"/>
        <v>BH601PriorityEHS</v>
      </c>
      <c r="E203" s="9">
        <v>0</v>
      </c>
      <c r="F203" t="str">
        <f t="shared" si="7"/>
        <v>B</v>
      </c>
    </row>
    <row r="204" spans="1:6">
      <c r="A204" s="8" t="s">
        <v>387</v>
      </c>
      <c r="B204" s="8" t="s">
        <v>112</v>
      </c>
      <c r="C204" s="8" t="s">
        <v>376</v>
      </c>
      <c r="D204" s="8" t="str">
        <f t="shared" si="6"/>
        <v>BH601MajorEHS</v>
      </c>
      <c r="E204" s="9">
        <v>2</v>
      </c>
      <c r="F204" t="str">
        <f t="shared" si="7"/>
        <v>B</v>
      </c>
    </row>
    <row r="205" spans="1:6">
      <c r="A205" s="8" t="s">
        <v>387</v>
      </c>
      <c r="B205" s="8" t="s">
        <v>185</v>
      </c>
      <c r="C205" s="8" t="s">
        <v>376</v>
      </c>
      <c r="D205" s="8" t="str">
        <f t="shared" si="6"/>
        <v>BH601MinorEHS</v>
      </c>
      <c r="E205" s="9">
        <v>4</v>
      </c>
      <c r="F205" t="str">
        <f t="shared" si="7"/>
        <v>B</v>
      </c>
    </row>
    <row r="206" spans="1:6">
      <c r="A206" s="8" t="s">
        <v>387</v>
      </c>
      <c r="B206" s="8" t="s">
        <v>374</v>
      </c>
      <c r="C206" s="8" t="s">
        <v>376</v>
      </c>
      <c r="D206" s="8" t="str">
        <f t="shared" si="6"/>
        <v>BH601N/AEHS</v>
      </c>
      <c r="E206" s="9">
        <v>6</v>
      </c>
      <c r="F206" t="str">
        <f t="shared" si="7"/>
        <v>B</v>
      </c>
    </row>
    <row r="207" spans="1:6">
      <c r="A207" s="8" t="s">
        <v>388</v>
      </c>
      <c r="B207" s="8" t="s">
        <v>120</v>
      </c>
      <c r="C207" s="8" t="s">
        <v>376</v>
      </c>
      <c r="D207" s="8" t="str">
        <f t="shared" si="6"/>
        <v>BH701ConformanceEHS</v>
      </c>
      <c r="E207" s="9">
        <v>2</v>
      </c>
      <c r="F207" t="str">
        <f t="shared" si="7"/>
        <v>B</v>
      </c>
    </row>
    <row r="208" spans="1:6">
      <c r="A208" s="8" t="s">
        <v>388</v>
      </c>
      <c r="B208" s="8" t="s">
        <v>114</v>
      </c>
      <c r="C208" s="8" t="s">
        <v>376</v>
      </c>
      <c r="D208" s="8" t="str">
        <f t="shared" si="6"/>
        <v>BH701PriorityEHS</v>
      </c>
      <c r="E208" s="9">
        <v>0</v>
      </c>
      <c r="F208" t="str">
        <f t="shared" si="7"/>
        <v>B</v>
      </c>
    </row>
    <row r="209" spans="1:6">
      <c r="A209" s="8" t="s">
        <v>388</v>
      </c>
      <c r="B209" s="8" t="s">
        <v>112</v>
      </c>
      <c r="C209" s="8" t="s">
        <v>376</v>
      </c>
      <c r="D209" s="8" t="str">
        <f t="shared" si="6"/>
        <v>BH701MajorEHS</v>
      </c>
      <c r="E209" s="9">
        <v>0.5</v>
      </c>
      <c r="F209" t="str">
        <f t="shared" si="7"/>
        <v>B</v>
      </c>
    </row>
    <row r="210" spans="1:6">
      <c r="A210" s="8" t="s">
        <v>388</v>
      </c>
      <c r="B210" s="8" t="s">
        <v>185</v>
      </c>
      <c r="C210" s="8" t="s">
        <v>376</v>
      </c>
      <c r="D210" s="8" t="str">
        <f t="shared" si="6"/>
        <v>BH701MinorEHS</v>
      </c>
      <c r="E210" s="9">
        <v>1</v>
      </c>
      <c r="F210" t="str">
        <f t="shared" si="7"/>
        <v>B</v>
      </c>
    </row>
    <row r="211" spans="1:6">
      <c r="A211" s="8" t="s">
        <v>388</v>
      </c>
      <c r="B211" s="8" t="s">
        <v>374</v>
      </c>
      <c r="C211" s="8" t="s">
        <v>376</v>
      </c>
      <c r="D211" s="8" t="str">
        <f t="shared" si="6"/>
        <v>BH701N/AEHS</v>
      </c>
      <c r="E211" s="9">
        <v>2</v>
      </c>
      <c r="F211" t="str">
        <f t="shared" si="7"/>
        <v>B</v>
      </c>
    </row>
    <row r="212" spans="1:6">
      <c r="A212" s="8" t="s">
        <v>389</v>
      </c>
      <c r="B212" s="8" t="s">
        <v>120</v>
      </c>
      <c r="C212" s="8" t="s">
        <v>376</v>
      </c>
      <c r="D212" s="8" t="str">
        <f t="shared" si="6"/>
        <v>BH702ConformanceEHS</v>
      </c>
      <c r="E212" s="9">
        <v>2</v>
      </c>
      <c r="F212" t="str">
        <f t="shared" si="7"/>
        <v>B</v>
      </c>
    </row>
    <row r="213" spans="1:6">
      <c r="A213" s="8" t="s">
        <v>389</v>
      </c>
      <c r="B213" s="8" t="s">
        <v>114</v>
      </c>
      <c r="C213" s="8" t="s">
        <v>376</v>
      </c>
      <c r="D213" s="8" t="str">
        <f t="shared" si="6"/>
        <v>BH702PriorityEHS</v>
      </c>
      <c r="E213" s="9">
        <v>0</v>
      </c>
      <c r="F213" t="str">
        <f t="shared" si="7"/>
        <v>B</v>
      </c>
    </row>
    <row r="214" spans="1:6">
      <c r="A214" s="8" t="s">
        <v>389</v>
      </c>
      <c r="B214" s="8" t="s">
        <v>112</v>
      </c>
      <c r="C214" s="8" t="s">
        <v>376</v>
      </c>
      <c r="D214" s="8" t="str">
        <f t="shared" si="6"/>
        <v>BH702MajorEHS</v>
      </c>
      <c r="E214" s="9">
        <v>0.5</v>
      </c>
      <c r="F214" t="str">
        <f t="shared" si="7"/>
        <v>B</v>
      </c>
    </row>
    <row r="215" spans="1:6">
      <c r="A215" s="8" t="s">
        <v>389</v>
      </c>
      <c r="B215" s="8" t="s">
        <v>185</v>
      </c>
      <c r="C215" s="8" t="s">
        <v>376</v>
      </c>
      <c r="D215" s="8" t="str">
        <f t="shared" si="6"/>
        <v>BH702MinorEHS</v>
      </c>
      <c r="E215" s="9">
        <v>1</v>
      </c>
      <c r="F215" t="str">
        <f t="shared" si="7"/>
        <v>B</v>
      </c>
    </row>
    <row r="216" spans="1:6">
      <c r="A216" s="8" t="s">
        <v>389</v>
      </c>
      <c r="B216" s="8" t="s">
        <v>374</v>
      </c>
      <c r="C216" s="8" t="s">
        <v>376</v>
      </c>
      <c r="D216" s="8" t="str">
        <f t="shared" si="6"/>
        <v>BH702N/AEHS</v>
      </c>
      <c r="E216" s="9">
        <v>2</v>
      </c>
      <c r="F216" t="str">
        <f t="shared" si="7"/>
        <v>B</v>
      </c>
    </row>
    <row r="217" spans="1:6">
      <c r="A217" s="8" t="s">
        <v>390</v>
      </c>
      <c r="B217" s="8" t="s">
        <v>120</v>
      </c>
      <c r="C217" s="8" t="s">
        <v>376</v>
      </c>
      <c r="D217" s="8" t="str">
        <f t="shared" si="6"/>
        <v>BM101ConformanceEHS</v>
      </c>
      <c r="E217" s="9">
        <v>1</v>
      </c>
      <c r="F217" t="str">
        <f t="shared" si="7"/>
        <v>B</v>
      </c>
    </row>
    <row r="218" spans="1:6">
      <c r="A218" s="8" t="s">
        <v>390</v>
      </c>
      <c r="B218" s="8" t="s">
        <v>114</v>
      </c>
      <c r="C218" s="8" t="s">
        <v>376</v>
      </c>
      <c r="D218" s="8" t="str">
        <f t="shared" si="6"/>
        <v>BM101PriorityEHS</v>
      </c>
      <c r="E218" s="9">
        <v>0</v>
      </c>
      <c r="F218" t="str">
        <f t="shared" si="7"/>
        <v>B</v>
      </c>
    </row>
    <row r="219" spans="1:6">
      <c r="A219" s="8" t="s">
        <v>390</v>
      </c>
      <c r="B219" s="8" t="s">
        <v>112</v>
      </c>
      <c r="C219" s="8" t="s">
        <v>376</v>
      </c>
      <c r="D219" s="8" t="str">
        <f t="shared" si="6"/>
        <v>BM101MajorEHS</v>
      </c>
      <c r="E219" s="9">
        <v>0.2</v>
      </c>
      <c r="F219" t="str">
        <f t="shared" si="7"/>
        <v>B</v>
      </c>
    </row>
    <row r="220" spans="1:6">
      <c r="A220" s="8" t="s">
        <v>390</v>
      </c>
      <c r="B220" s="8" t="s">
        <v>185</v>
      </c>
      <c r="C220" s="8" t="s">
        <v>376</v>
      </c>
      <c r="D220" s="8" t="str">
        <f t="shared" si="6"/>
        <v>BM101MinorEHS</v>
      </c>
      <c r="E220" s="9">
        <v>0.5</v>
      </c>
      <c r="F220" t="str">
        <f t="shared" si="7"/>
        <v>B</v>
      </c>
    </row>
    <row r="221" spans="1:6">
      <c r="A221" s="8" t="s">
        <v>390</v>
      </c>
      <c r="B221" s="8" t="s">
        <v>374</v>
      </c>
      <c r="C221" s="8" t="s">
        <v>376</v>
      </c>
      <c r="D221" s="8" t="str">
        <f t="shared" si="6"/>
        <v>BM101N/AEHS</v>
      </c>
      <c r="E221" s="9">
        <v>1</v>
      </c>
      <c r="F221" t="str">
        <f t="shared" si="7"/>
        <v>B</v>
      </c>
    </row>
    <row r="222" spans="1:6">
      <c r="A222" s="8" t="s">
        <v>391</v>
      </c>
      <c r="B222" s="8" t="s">
        <v>120</v>
      </c>
      <c r="C222" s="8" t="s">
        <v>376</v>
      </c>
      <c r="D222" s="8" t="str">
        <f t="shared" si="6"/>
        <v>BM102ConformanceEHS</v>
      </c>
      <c r="E222" s="9">
        <v>3</v>
      </c>
      <c r="F222" t="str">
        <f t="shared" si="7"/>
        <v>B</v>
      </c>
    </row>
    <row r="223" spans="1:6">
      <c r="A223" s="8" t="s">
        <v>391</v>
      </c>
      <c r="B223" s="8" t="s">
        <v>114</v>
      </c>
      <c r="C223" s="8" t="s">
        <v>376</v>
      </c>
      <c r="D223" s="8" t="str">
        <f t="shared" si="6"/>
        <v>BM102PriorityEHS</v>
      </c>
      <c r="E223" s="9">
        <v>0</v>
      </c>
      <c r="F223" t="str">
        <f t="shared" si="7"/>
        <v>B</v>
      </c>
    </row>
    <row r="224" spans="1:6">
      <c r="A224" s="8" t="s">
        <v>391</v>
      </c>
      <c r="B224" s="8" t="s">
        <v>112</v>
      </c>
      <c r="C224" s="8" t="s">
        <v>376</v>
      </c>
      <c r="D224" s="8" t="str">
        <f t="shared" si="6"/>
        <v>BM102MajorEHS</v>
      </c>
      <c r="E224" s="9">
        <v>1</v>
      </c>
      <c r="F224" t="str">
        <f t="shared" si="7"/>
        <v>B</v>
      </c>
    </row>
    <row r="225" spans="1:6">
      <c r="A225" s="8" t="s">
        <v>391</v>
      </c>
      <c r="B225" s="8" t="s">
        <v>185</v>
      </c>
      <c r="C225" s="8" t="s">
        <v>376</v>
      </c>
      <c r="D225" s="8" t="str">
        <f t="shared" si="6"/>
        <v>BM102MinorEHS</v>
      </c>
      <c r="E225" s="9">
        <v>2</v>
      </c>
      <c r="F225" t="str">
        <f t="shared" si="7"/>
        <v>B</v>
      </c>
    </row>
    <row r="226" spans="1:6">
      <c r="A226" s="8" t="s">
        <v>391</v>
      </c>
      <c r="B226" s="8" t="s">
        <v>374</v>
      </c>
      <c r="C226" s="8" t="s">
        <v>376</v>
      </c>
      <c r="D226" s="8" t="str">
        <f t="shared" si="6"/>
        <v>BM102N/AEHS</v>
      </c>
      <c r="E226" s="9">
        <v>3</v>
      </c>
      <c r="F226" t="str">
        <f t="shared" si="7"/>
        <v>B</v>
      </c>
    </row>
    <row r="227" spans="1:6">
      <c r="A227" s="8" t="s">
        <v>392</v>
      </c>
      <c r="B227" s="8" t="s">
        <v>120</v>
      </c>
      <c r="C227" s="8" t="s">
        <v>376</v>
      </c>
      <c r="D227" s="8" t="str">
        <f t="shared" si="6"/>
        <v>BM201ConformanceEHS</v>
      </c>
      <c r="E227" s="9">
        <v>2</v>
      </c>
      <c r="F227" t="str">
        <f t="shared" si="7"/>
        <v>B</v>
      </c>
    </row>
    <row r="228" spans="1:6">
      <c r="A228" s="8" t="s">
        <v>392</v>
      </c>
      <c r="B228" s="8" t="s">
        <v>114</v>
      </c>
      <c r="C228" s="8" t="s">
        <v>376</v>
      </c>
      <c r="D228" s="8" t="str">
        <f t="shared" si="6"/>
        <v>BM201PriorityEHS</v>
      </c>
      <c r="E228" s="9">
        <v>0</v>
      </c>
      <c r="F228" t="str">
        <f t="shared" si="7"/>
        <v>B</v>
      </c>
    </row>
    <row r="229" spans="1:6">
      <c r="A229" s="8" t="s">
        <v>392</v>
      </c>
      <c r="B229" s="8" t="s">
        <v>112</v>
      </c>
      <c r="C229" s="8" t="s">
        <v>376</v>
      </c>
      <c r="D229" s="8" t="str">
        <f t="shared" si="6"/>
        <v>BM201MajorEHS</v>
      </c>
      <c r="E229" s="9">
        <v>0.5</v>
      </c>
      <c r="F229" t="str">
        <f t="shared" si="7"/>
        <v>B</v>
      </c>
    </row>
    <row r="230" spans="1:6">
      <c r="A230" s="8" t="s">
        <v>392</v>
      </c>
      <c r="B230" s="8" t="s">
        <v>185</v>
      </c>
      <c r="C230" s="8" t="s">
        <v>376</v>
      </c>
      <c r="D230" s="8" t="str">
        <f t="shared" si="6"/>
        <v>BM201MinorEHS</v>
      </c>
      <c r="E230" s="9">
        <v>1</v>
      </c>
      <c r="F230" t="str">
        <f t="shared" si="7"/>
        <v>B</v>
      </c>
    </row>
    <row r="231" spans="1:6">
      <c r="A231" s="8" t="s">
        <v>392</v>
      </c>
      <c r="B231" s="8" t="s">
        <v>374</v>
      </c>
      <c r="C231" s="8" t="s">
        <v>376</v>
      </c>
      <c r="D231" s="8" t="str">
        <f t="shared" si="6"/>
        <v>BM201N/AEHS</v>
      </c>
      <c r="E231" s="9">
        <v>2</v>
      </c>
      <c r="F231" t="str">
        <f t="shared" si="7"/>
        <v>B</v>
      </c>
    </row>
    <row r="232" spans="1:6">
      <c r="A232" s="8" t="s">
        <v>393</v>
      </c>
      <c r="B232" s="8" t="s">
        <v>120</v>
      </c>
      <c r="C232" s="8" t="s">
        <v>376</v>
      </c>
      <c r="D232" s="8" t="str">
        <f t="shared" si="6"/>
        <v>BM202ConformanceEHS</v>
      </c>
      <c r="E232" s="9">
        <v>1</v>
      </c>
      <c r="F232" t="str">
        <f t="shared" si="7"/>
        <v>B</v>
      </c>
    </row>
    <row r="233" spans="1:6">
      <c r="A233" s="8" t="s">
        <v>393</v>
      </c>
      <c r="B233" s="8" t="s">
        <v>114</v>
      </c>
      <c r="C233" s="8" t="s">
        <v>376</v>
      </c>
      <c r="D233" s="8" t="str">
        <f t="shared" si="6"/>
        <v>BM202PriorityEHS</v>
      </c>
      <c r="E233" s="9">
        <v>0</v>
      </c>
      <c r="F233" t="str">
        <f t="shared" si="7"/>
        <v>B</v>
      </c>
    </row>
    <row r="234" spans="1:6">
      <c r="A234" s="8" t="s">
        <v>393</v>
      </c>
      <c r="B234" s="8" t="s">
        <v>112</v>
      </c>
      <c r="C234" s="8" t="s">
        <v>376</v>
      </c>
      <c r="D234" s="8" t="str">
        <f t="shared" si="6"/>
        <v>BM202MajorEHS</v>
      </c>
      <c r="E234" s="9">
        <v>0.2</v>
      </c>
      <c r="F234" t="str">
        <f t="shared" si="7"/>
        <v>B</v>
      </c>
    </row>
    <row r="235" spans="1:6">
      <c r="A235" s="8" t="s">
        <v>393</v>
      </c>
      <c r="B235" s="8" t="s">
        <v>185</v>
      </c>
      <c r="C235" s="8" t="s">
        <v>376</v>
      </c>
      <c r="D235" s="8" t="str">
        <f t="shared" si="6"/>
        <v>BM202MinorEHS</v>
      </c>
      <c r="E235" s="9">
        <v>0.5</v>
      </c>
      <c r="F235" t="str">
        <f t="shared" si="7"/>
        <v>B</v>
      </c>
    </row>
    <row r="236" spans="1:6">
      <c r="A236" s="8" t="s">
        <v>393</v>
      </c>
      <c r="B236" s="8" t="s">
        <v>374</v>
      </c>
      <c r="C236" s="8" t="s">
        <v>376</v>
      </c>
      <c r="D236" s="8" t="str">
        <f t="shared" si="6"/>
        <v>BM202N/AEHS</v>
      </c>
      <c r="E236" s="9">
        <v>1</v>
      </c>
      <c r="F236" t="str">
        <f t="shared" si="7"/>
        <v>B</v>
      </c>
    </row>
    <row r="237" spans="1:6">
      <c r="A237" s="8" t="s">
        <v>394</v>
      </c>
      <c r="B237" s="8" t="s">
        <v>120</v>
      </c>
      <c r="C237" s="8" t="s">
        <v>376</v>
      </c>
      <c r="D237" s="8" t="str">
        <f t="shared" si="6"/>
        <v>BM203ConformanceEHS</v>
      </c>
      <c r="E237" s="9">
        <v>2</v>
      </c>
      <c r="F237" t="str">
        <f t="shared" si="7"/>
        <v>B</v>
      </c>
    </row>
    <row r="238" spans="1:6">
      <c r="A238" s="8" t="s">
        <v>394</v>
      </c>
      <c r="B238" s="8" t="s">
        <v>114</v>
      </c>
      <c r="C238" s="8" t="s">
        <v>376</v>
      </c>
      <c r="D238" s="8" t="str">
        <f t="shared" si="6"/>
        <v>BM203PriorityEHS</v>
      </c>
      <c r="E238" s="9">
        <v>0</v>
      </c>
      <c r="F238" t="str">
        <f t="shared" si="7"/>
        <v>B</v>
      </c>
    </row>
    <row r="239" spans="1:6">
      <c r="A239" s="8" t="s">
        <v>394</v>
      </c>
      <c r="B239" s="8" t="s">
        <v>112</v>
      </c>
      <c r="C239" s="8" t="s">
        <v>376</v>
      </c>
      <c r="D239" s="8" t="str">
        <f t="shared" si="6"/>
        <v>BM203MajorEHS</v>
      </c>
      <c r="E239" s="9">
        <v>0.5</v>
      </c>
      <c r="F239" t="str">
        <f t="shared" si="7"/>
        <v>B</v>
      </c>
    </row>
    <row r="240" spans="1:6">
      <c r="A240" s="8" t="s">
        <v>394</v>
      </c>
      <c r="B240" s="8" t="s">
        <v>185</v>
      </c>
      <c r="C240" s="8" t="s">
        <v>376</v>
      </c>
      <c r="D240" s="8" t="str">
        <f t="shared" si="6"/>
        <v>BM203MinorEHS</v>
      </c>
      <c r="E240" s="9">
        <v>1</v>
      </c>
      <c r="F240" t="str">
        <f t="shared" si="7"/>
        <v>B</v>
      </c>
    </row>
    <row r="241" spans="1:6">
      <c r="A241" s="8" t="s">
        <v>394</v>
      </c>
      <c r="B241" s="8" t="s">
        <v>374</v>
      </c>
      <c r="C241" s="8" t="s">
        <v>376</v>
      </c>
      <c r="D241" s="8" t="str">
        <f t="shared" si="6"/>
        <v>BM203N/AEHS</v>
      </c>
      <c r="E241" s="9">
        <v>2</v>
      </c>
      <c r="F241" t="str">
        <f t="shared" si="7"/>
        <v>B</v>
      </c>
    </row>
    <row r="242" spans="1:6">
      <c r="A242" s="8" t="s">
        <v>395</v>
      </c>
      <c r="B242" s="8" t="s">
        <v>120</v>
      </c>
      <c r="C242" s="8" t="s">
        <v>376</v>
      </c>
      <c r="D242" s="8" t="str">
        <f t="shared" si="6"/>
        <v>BM301ConformanceEHS</v>
      </c>
      <c r="E242" s="9">
        <v>1</v>
      </c>
      <c r="F242" t="str">
        <f t="shared" si="7"/>
        <v>B</v>
      </c>
    </row>
    <row r="243" spans="1:6">
      <c r="A243" s="8" t="s">
        <v>395</v>
      </c>
      <c r="B243" s="8" t="s">
        <v>114</v>
      </c>
      <c r="C243" s="8" t="s">
        <v>376</v>
      </c>
      <c r="D243" s="8" t="str">
        <f t="shared" si="6"/>
        <v>BM301PriorityEHS</v>
      </c>
      <c r="E243" s="9">
        <v>0</v>
      </c>
      <c r="F243" t="str">
        <f t="shared" si="7"/>
        <v>B</v>
      </c>
    </row>
    <row r="244" spans="1:6">
      <c r="A244" s="8" t="s">
        <v>395</v>
      </c>
      <c r="B244" s="8" t="s">
        <v>112</v>
      </c>
      <c r="C244" s="8" t="s">
        <v>376</v>
      </c>
      <c r="D244" s="8" t="str">
        <f t="shared" si="6"/>
        <v>BM301MajorEHS</v>
      </c>
      <c r="E244" s="9">
        <v>0.2</v>
      </c>
      <c r="F244" t="str">
        <f t="shared" si="7"/>
        <v>B</v>
      </c>
    </row>
    <row r="245" spans="1:6">
      <c r="A245" s="8" t="s">
        <v>395</v>
      </c>
      <c r="B245" s="8" t="s">
        <v>185</v>
      </c>
      <c r="C245" s="8" t="s">
        <v>376</v>
      </c>
      <c r="D245" s="8" t="str">
        <f t="shared" si="6"/>
        <v>BM301MinorEHS</v>
      </c>
      <c r="E245" s="9">
        <v>0.5</v>
      </c>
      <c r="F245" t="str">
        <f t="shared" si="7"/>
        <v>B</v>
      </c>
    </row>
    <row r="246" spans="1:6">
      <c r="A246" s="8" t="s">
        <v>395</v>
      </c>
      <c r="B246" s="8" t="s">
        <v>374</v>
      </c>
      <c r="C246" s="8" t="s">
        <v>376</v>
      </c>
      <c r="D246" s="8" t="str">
        <f t="shared" si="6"/>
        <v>BM301N/AEHS</v>
      </c>
      <c r="E246" s="9">
        <v>1</v>
      </c>
      <c r="F246" t="str">
        <f t="shared" si="7"/>
        <v>B</v>
      </c>
    </row>
    <row r="247" spans="1:6">
      <c r="A247" s="8" t="s">
        <v>396</v>
      </c>
      <c r="B247" s="8" t="s">
        <v>120</v>
      </c>
      <c r="C247" s="8" t="s">
        <v>376</v>
      </c>
      <c r="D247" s="8" t="str">
        <f t="shared" si="6"/>
        <v>BM302ConformanceEHS</v>
      </c>
      <c r="E247" s="9">
        <v>1</v>
      </c>
      <c r="F247" t="str">
        <f t="shared" si="7"/>
        <v>B</v>
      </c>
    </row>
    <row r="248" spans="1:6">
      <c r="A248" s="8" t="s">
        <v>396</v>
      </c>
      <c r="B248" s="8" t="s">
        <v>114</v>
      </c>
      <c r="C248" s="8" t="s">
        <v>376</v>
      </c>
      <c r="D248" s="8" t="str">
        <f t="shared" si="6"/>
        <v>BM302PriorityEHS</v>
      </c>
      <c r="E248" s="9">
        <v>0</v>
      </c>
      <c r="F248" t="str">
        <f t="shared" si="7"/>
        <v>B</v>
      </c>
    </row>
    <row r="249" spans="1:6">
      <c r="A249" s="8" t="s">
        <v>396</v>
      </c>
      <c r="B249" s="8" t="s">
        <v>112</v>
      </c>
      <c r="C249" s="8" t="s">
        <v>376</v>
      </c>
      <c r="D249" s="8" t="str">
        <f t="shared" si="6"/>
        <v>BM302MajorEHS</v>
      </c>
      <c r="E249" s="9">
        <v>0.2</v>
      </c>
      <c r="F249" t="str">
        <f t="shared" si="7"/>
        <v>B</v>
      </c>
    </row>
    <row r="250" spans="1:6">
      <c r="A250" s="8" t="s">
        <v>396</v>
      </c>
      <c r="B250" s="8" t="s">
        <v>185</v>
      </c>
      <c r="C250" s="8" t="s">
        <v>376</v>
      </c>
      <c r="D250" s="8" t="str">
        <f t="shared" si="6"/>
        <v>BM302MinorEHS</v>
      </c>
      <c r="E250" s="9">
        <v>0.5</v>
      </c>
      <c r="F250" t="str">
        <f t="shared" si="7"/>
        <v>B</v>
      </c>
    </row>
    <row r="251" spans="1:6">
      <c r="A251" s="8" t="s">
        <v>396</v>
      </c>
      <c r="B251" s="8" t="s">
        <v>374</v>
      </c>
      <c r="C251" s="8" t="s">
        <v>376</v>
      </c>
      <c r="D251" s="8" t="str">
        <f t="shared" si="6"/>
        <v>BM302N/AEHS</v>
      </c>
      <c r="E251" s="9">
        <v>1</v>
      </c>
      <c r="F251" t="str">
        <f t="shared" si="7"/>
        <v>B</v>
      </c>
    </row>
    <row r="252" spans="1:6">
      <c r="A252" s="8" t="s">
        <v>397</v>
      </c>
      <c r="B252" s="8" t="s">
        <v>120</v>
      </c>
      <c r="C252" s="8" t="s">
        <v>376</v>
      </c>
      <c r="D252" s="8" t="str">
        <f t="shared" si="6"/>
        <v>BM401ConformanceEHS</v>
      </c>
      <c r="E252" s="9">
        <v>1</v>
      </c>
      <c r="F252" t="str">
        <f t="shared" si="7"/>
        <v>B</v>
      </c>
    </row>
    <row r="253" spans="1:6">
      <c r="A253" s="8" t="s">
        <v>397</v>
      </c>
      <c r="B253" s="8" t="s">
        <v>114</v>
      </c>
      <c r="C253" s="8" t="s">
        <v>376</v>
      </c>
      <c r="D253" s="8" t="str">
        <f t="shared" si="6"/>
        <v>BM401PriorityEHS</v>
      </c>
      <c r="E253" s="9">
        <v>0</v>
      </c>
      <c r="F253" t="str">
        <f t="shared" si="7"/>
        <v>B</v>
      </c>
    </row>
    <row r="254" spans="1:6">
      <c r="A254" s="8" t="s">
        <v>397</v>
      </c>
      <c r="B254" s="8" t="s">
        <v>112</v>
      </c>
      <c r="C254" s="8" t="s">
        <v>376</v>
      </c>
      <c r="D254" s="8" t="str">
        <f t="shared" si="6"/>
        <v>BM401MajorEHS</v>
      </c>
      <c r="E254" s="9">
        <v>0.2</v>
      </c>
      <c r="F254" t="str">
        <f t="shared" si="7"/>
        <v>B</v>
      </c>
    </row>
    <row r="255" spans="1:6">
      <c r="A255" s="8" t="s">
        <v>397</v>
      </c>
      <c r="B255" s="8" t="s">
        <v>185</v>
      </c>
      <c r="C255" s="8" t="s">
        <v>376</v>
      </c>
      <c r="D255" s="8" t="str">
        <f t="shared" si="6"/>
        <v>BM401MinorEHS</v>
      </c>
      <c r="E255" s="9">
        <v>0.5</v>
      </c>
      <c r="F255" t="str">
        <f t="shared" si="7"/>
        <v>B</v>
      </c>
    </row>
    <row r="256" spans="1:6">
      <c r="A256" s="8" t="s">
        <v>397</v>
      </c>
      <c r="B256" s="8" t="s">
        <v>374</v>
      </c>
      <c r="C256" s="8" t="s">
        <v>376</v>
      </c>
      <c r="D256" s="8" t="str">
        <f t="shared" si="6"/>
        <v>BM401N/AEHS</v>
      </c>
      <c r="E256" s="9">
        <v>1</v>
      </c>
      <c r="F256" t="str">
        <f t="shared" si="7"/>
        <v>B</v>
      </c>
    </row>
    <row r="257" spans="1:6">
      <c r="A257" s="8" t="s">
        <v>398</v>
      </c>
      <c r="B257" s="8" t="s">
        <v>120</v>
      </c>
      <c r="C257" s="8" t="s">
        <v>376</v>
      </c>
      <c r="D257" s="8" t="str">
        <f t="shared" si="6"/>
        <v>BM402ConformanceEHS</v>
      </c>
      <c r="E257" s="9">
        <v>1</v>
      </c>
      <c r="F257" t="str">
        <f t="shared" si="7"/>
        <v>B</v>
      </c>
    </row>
    <row r="258" spans="1:6">
      <c r="A258" s="8" t="s">
        <v>398</v>
      </c>
      <c r="B258" s="8" t="s">
        <v>114</v>
      </c>
      <c r="C258" s="8" t="s">
        <v>376</v>
      </c>
      <c r="D258" s="8" t="str">
        <f t="shared" si="6"/>
        <v>BM402PriorityEHS</v>
      </c>
      <c r="E258" s="9">
        <v>0</v>
      </c>
      <c r="F258" t="str">
        <f t="shared" si="7"/>
        <v>B</v>
      </c>
    </row>
    <row r="259" spans="1:6">
      <c r="A259" s="8" t="s">
        <v>398</v>
      </c>
      <c r="B259" s="8" t="s">
        <v>112</v>
      </c>
      <c r="C259" s="8" t="s">
        <v>376</v>
      </c>
      <c r="D259" s="8" t="str">
        <f t="shared" ref="D259:D322" si="8">A259&amp;B259&amp;C259</f>
        <v>BM402MajorEHS</v>
      </c>
      <c r="E259" s="9">
        <v>0.2</v>
      </c>
      <c r="F259" t="str">
        <f t="shared" ref="F259:F322" si="9">+MID(A259,1,1)</f>
        <v>B</v>
      </c>
    </row>
    <row r="260" spans="1:6">
      <c r="A260" s="8" t="s">
        <v>398</v>
      </c>
      <c r="B260" s="8" t="s">
        <v>185</v>
      </c>
      <c r="C260" s="8" t="s">
        <v>376</v>
      </c>
      <c r="D260" s="8" t="str">
        <f t="shared" si="8"/>
        <v>BM402MinorEHS</v>
      </c>
      <c r="E260" s="9">
        <v>0.5</v>
      </c>
      <c r="F260" t="str">
        <f t="shared" si="9"/>
        <v>B</v>
      </c>
    </row>
    <row r="261" spans="1:6">
      <c r="A261" s="8" t="s">
        <v>398</v>
      </c>
      <c r="B261" s="8" t="s">
        <v>374</v>
      </c>
      <c r="C261" s="8" t="s">
        <v>376</v>
      </c>
      <c r="D261" s="8" t="str">
        <f t="shared" si="8"/>
        <v>BM402N/AEHS</v>
      </c>
      <c r="E261" s="9">
        <v>1</v>
      </c>
      <c r="F261" t="str">
        <f t="shared" si="9"/>
        <v>B</v>
      </c>
    </row>
    <row r="262" spans="1:6">
      <c r="A262" s="8" t="s">
        <v>399</v>
      </c>
      <c r="B262" s="8" t="s">
        <v>120</v>
      </c>
      <c r="C262" s="8" t="s">
        <v>376</v>
      </c>
      <c r="D262" s="8" t="str">
        <f t="shared" si="8"/>
        <v>BM403ConformanceEHS</v>
      </c>
      <c r="E262" s="9">
        <v>1</v>
      </c>
      <c r="F262" t="str">
        <f t="shared" si="9"/>
        <v>B</v>
      </c>
    </row>
    <row r="263" spans="1:6">
      <c r="A263" s="8" t="s">
        <v>399</v>
      </c>
      <c r="B263" s="8" t="s">
        <v>114</v>
      </c>
      <c r="C263" s="8" t="s">
        <v>376</v>
      </c>
      <c r="D263" s="8" t="str">
        <f t="shared" si="8"/>
        <v>BM403PriorityEHS</v>
      </c>
      <c r="E263" s="9">
        <v>0</v>
      </c>
      <c r="F263" t="str">
        <f t="shared" si="9"/>
        <v>B</v>
      </c>
    </row>
    <row r="264" spans="1:6">
      <c r="A264" s="8" t="s">
        <v>399</v>
      </c>
      <c r="B264" s="8" t="s">
        <v>112</v>
      </c>
      <c r="C264" s="8" t="s">
        <v>376</v>
      </c>
      <c r="D264" s="8" t="str">
        <f t="shared" si="8"/>
        <v>BM403MajorEHS</v>
      </c>
      <c r="E264" s="9">
        <v>0.2</v>
      </c>
      <c r="F264" t="str">
        <f t="shared" si="9"/>
        <v>B</v>
      </c>
    </row>
    <row r="265" spans="1:6">
      <c r="A265" s="8" t="s">
        <v>399</v>
      </c>
      <c r="B265" s="8" t="s">
        <v>185</v>
      </c>
      <c r="C265" s="8" t="s">
        <v>376</v>
      </c>
      <c r="D265" s="8" t="str">
        <f t="shared" si="8"/>
        <v>BM403MinorEHS</v>
      </c>
      <c r="E265" s="9">
        <v>0.5</v>
      </c>
      <c r="F265" t="str">
        <f t="shared" si="9"/>
        <v>B</v>
      </c>
    </row>
    <row r="266" spans="1:6">
      <c r="A266" s="8" t="s">
        <v>399</v>
      </c>
      <c r="B266" s="8" t="s">
        <v>374</v>
      </c>
      <c r="C266" s="8" t="s">
        <v>376</v>
      </c>
      <c r="D266" s="8" t="str">
        <f t="shared" si="8"/>
        <v>BM403N/AEHS</v>
      </c>
      <c r="E266" s="9">
        <v>1</v>
      </c>
      <c r="F266" t="str">
        <f t="shared" si="9"/>
        <v>B</v>
      </c>
    </row>
    <row r="267" spans="1:6">
      <c r="A267" s="8" t="s">
        <v>400</v>
      </c>
      <c r="B267" s="8" t="s">
        <v>120</v>
      </c>
      <c r="C267" s="8" t="s">
        <v>376</v>
      </c>
      <c r="D267" s="8" t="str">
        <f t="shared" si="8"/>
        <v>CE101ConformanceEHS</v>
      </c>
      <c r="E267" s="9">
        <v>6</v>
      </c>
      <c r="F267" t="str">
        <f t="shared" si="9"/>
        <v>C</v>
      </c>
    </row>
    <row r="268" spans="1:6">
      <c r="A268" s="8" t="s">
        <v>400</v>
      </c>
      <c r="B268" s="8" t="s">
        <v>114</v>
      </c>
      <c r="C268" s="8" t="s">
        <v>376</v>
      </c>
      <c r="D268" s="8" t="str">
        <f t="shared" si="8"/>
        <v>CE101PriorityEHS</v>
      </c>
      <c r="E268" s="9">
        <v>0</v>
      </c>
      <c r="F268" t="str">
        <f t="shared" si="9"/>
        <v>C</v>
      </c>
    </row>
    <row r="269" spans="1:6">
      <c r="A269" s="8" t="s">
        <v>400</v>
      </c>
      <c r="B269" s="8" t="s">
        <v>112</v>
      </c>
      <c r="C269" s="8" t="s">
        <v>376</v>
      </c>
      <c r="D269" s="8" t="str">
        <f t="shared" si="8"/>
        <v>CE101MajorEHS</v>
      </c>
      <c r="E269" s="9">
        <v>2</v>
      </c>
      <c r="F269" t="str">
        <f t="shared" si="9"/>
        <v>C</v>
      </c>
    </row>
    <row r="270" spans="1:6">
      <c r="A270" s="8" t="s">
        <v>400</v>
      </c>
      <c r="B270" s="8" t="s">
        <v>185</v>
      </c>
      <c r="C270" s="8" t="s">
        <v>376</v>
      </c>
      <c r="D270" s="8" t="str">
        <f t="shared" si="8"/>
        <v>CE101MinorEHS</v>
      </c>
      <c r="E270" s="9">
        <v>4</v>
      </c>
      <c r="F270" t="str">
        <f t="shared" si="9"/>
        <v>C</v>
      </c>
    </row>
    <row r="271" spans="1:6">
      <c r="A271" s="8" t="s">
        <v>400</v>
      </c>
      <c r="B271" s="8" t="s">
        <v>374</v>
      </c>
      <c r="C271" s="8" t="s">
        <v>376</v>
      </c>
      <c r="D271" s="8" t="str">
        <f t="shared" si="8"/>
        <v>CE101N/AEHS</v>
      </c>
      <c r="E271" s="9">
        <v>6</v>
      </c>
      <c r="F271" t="str">
        <f t="shared" si="9"/>
        <v>C</v>
      </c>
    </row>
    <row r="272" spans="1:6">
      <c r="A272" s="8" t="s">
        <v>401</v>
      </c>
      <c r="B272" s="8" t="s">
        <v>120</v>
      </c>
      <c r="C272" s="8" t="s">
        <v>376</v>
      </c>
      <c r="D272" s="8" t="str">
        <f t="shared" si="8"/>
        <v>CE201ConformanceEHS</v>
      </c>
      <c r="E272" s="9">
        <v>5</v>
      </c>
      <c r="F272" t="str">
        <f t="shared" si="9"/>
        <v>C</v>
      </c>
    </row>
    <row r="273" spans="1:6">
      <c r="A273" s="8" t="s">
        <v>401</v>
      </c>
      <c r="B273" s="8" t="s">
        <v>114</v>
      </c>
      <c r="C273" s="8" t="s">
        <v>376</v>
      </c>
      <c r="D273" s="8" t="str">
        <f t="shared" si="8"/>
        <v>CE201PriorityEHS</v>
      </c>
      <c r="E273" s="9">
        <v>0</v>
      </c>
      <c r="F273" t="str">
        <f t="shared" si="9"/>
        <v>C</v>
      </c>
    </row>
    <row r="274" spans="1:6">
      <c r="A274" s="8" t="s">
        <v>401</v>
      </c>
      <c r="B274" s="8" t="s">
        <v>112</v>
      </c>
      <c r="C274" s="8" t="s">
        <v>376</v>
      </c>
      <c r="D274" s="8" t="str">
        <f t="shared" si="8"/>
        <v>CE201MajorEHS</v>
      </c>
      <c r="E274" s="9">
        <v>1</v>
      </c>
      <c r="F274" t="str">
        <f t="shared" si="9"/>
        <v>C</v>
      </c>
    </row>
    <row r="275" spans="1:6">
      <c r="A275" s="8" t="s">
        <v>401</v>
      </c>
      <c r="B275" s="8" t="s">
        <v>185</v>
      </c>
      <c r="C275" s="8" t="s">
        <v>376</v>
      </c>
      <c r="D275" s="8" t="str">
        <f t="shared" si="8"/>
        <v>CE201MinorEHS</v>
      </c>
      <c r="E275" s="9">
        <v>3</v>
      </c>
      <c r="F275" t="str">
        <f t="shared" si="9"/>
        <v>C</v>
      </c>
    </row>
    <row r="276" spans="1:6">
      <c r="A276" s="8" t="s">
        <v>401</v>
      </c>
      <c r="B276" s="8" t="s">
        <v>374</v>
      </c>
      <c r="C276" s="8" t="s">
        <v>376</v>
      </c>
      <c r="D276" s="8" t="str">
        <f t="shared" si="8"/>
        <v>CE201N/AEHS</v>
      </c>
      <c r="E276" s="9">
        <v>5</v>
      </c>
      <c r="F276" t="str">
        <f t="shared" si="9"/>
        <v>C</v>
      </c>
    </row>
    <row r="277" spans="1:6">
      <c r="A277" s="8" t="s">
        <v>402</v>
      </c>
      <c r="B277" s="8" t="s">
        <v>120</v>
      </c>
      <c r="C277" s="8" t="s">
        <v>376</v>
      </c>
      <c r="D277" s="8" t="str">
        <f t="shared" si="8"/>
        <v>CE301ConformanceEHS</v>
      </c>
      <c r="E277" s="9">
        <v>3</v>
      </c>
      <c r="F277" t="str">
        <f t="shared" si="9"/>
        <v>C</v>
      </c>
    </row>
    <row r="278" spans="1:6">
      <c r="A278" s="8" t="s">
        <v>402</v>
      </c>
      <c r="B278" s="8" t="s">
        <v>114</v>
      </c>
      <c r="C278" s="8" t="s">
        <v>376</v>
      </c>
      <c r="D278" s="8" t="str">
        <f t="shared" si="8"/>
        <v>CE301PriorityEHS</v>
      </c>
      <c r="E278" s="9">
        <v>0</v>
      </c>
      <c r="F278" t="str">
        <f t="shared" si="9"/>
        <v>C</v>
      </c>
    </row>
    <row r="279" spans="1:6">
      <c r="A279" s="8" t="s">
        <v>402</v>
      </c>
      <c r="B279" s="8" t="s">
        <v>112</v>
      </c>
      <c r="C279" s="8" t="s">
        <v>376</v>
      </c>
      <c r="D279" s="8" t="str">
        <f t="shared" si="8"/>
        <v>CE301MajorEHS</v>
      </c>
      <c r="E279" s="9">
        <v>1</v>
      </c>
      <c r="F279" t="str">
        <f t="shared" si="9"/>
        <v>C</v>
      </c>
    </row>
    <row r="280" spans="1:6">
      <c r="A280" s="8" t="s">
        <v>402</v>
      </c>
      <c r="B280" s="8" t="s">
        <v>185</v>
      </c>
      <c r="C280" s="8" t="s">
        <v>376</v>
      </c>
      <c r="D280" s="8" t="str">
        <f t="shared" si="8"/>
        <v>CE301MinorEHS</v>
      </c>
      <c r="E280" s="9">
        <v>2</v>
      </c>
      <c r="F280" t="str">
        <f t="shared" si="9"/>
        <v>C</v>
      </c>
    </row>
    <row r="281" spans="1:6">
      <c r="A281" s="8" t="s">
        <v>402</v>
      </c>
      <c r="B281" s="8" t="s">
        <v>374</v>
      </c>
      <c r="C281" s="8" t="s">
        <v>376</v>
      </c>
      <c r="D281" s="8" t="str">
        <f t="shared" si="8"/>
        <v>CE301N/AEHS</v>
      </c>
      <c r="E281" s="9">
        <v>3</v>
      </c>
      <c r="F281" t="str">
        <f t="shared" si="9"/>
        <v>C</v>
      </c>
    </row>
    <row r="282" spans="1:6">
      <c r="A282" s="8" t="s">
        <v>403</v>
      </c>
      <c r="B282" s="8" t="s">
        <v>120</v>
      </c>
      <c r="C282" s="8" t="s">
        <v>376</v>
      </c>
      <c r="D282" s="8" t="str">
        <f t="shared" si="8"/>
        <v>CE401ConformanceEHS</v>
      </c>
      <c r="E282" s="9">
        <v>5</v>
      </c>
      <c r="F282" t="str">
        <f t="shared" si="9"/>
        <v>C</v>
      </c>
    </row>
    <row r="283" spans="1:6">
      <c r="A283" s="8" t="s">
        <v>403</v>
      </c>
      <c r="B283" s="8" t="s">
        <v>114</v>
      </c>
      <c r="C283" s="8" t="s">
        <v>376</v>
      </c>
      <c r="D283" s="8" t="str">
        <f t="shared" si="8"/>
        <v>CE401PriorityEHS</v>
      </c>
      <c r="E283" s="9">
        <v>0</v>
      </c>
      <c r="F283" t="str">
        <f t="shared" si="9"/>
        <v>C</v>
      </c>
    </row>
    <row r="284" spans="1:6">
      <c r="A284" s="8" t="s">
        <v>403</v>
      </c>
      <c r="B284" s="8" t="s">
        <v>112</v>
      </c>
      <c r="C284" s="8" t="s">
        <v>376</v>
      </c>
      <c r="D284" s="8" t="str">
        <f t="shared" si="8"/>
        <v>CE401MajorEHS</v>
      </c>
      <c r="E284" s="9">
        <v>1</v>
      </c>
      <c r="F284" t="str">
        <f t="shared" si="9"/>
        <v>C</v>
      </c>
    </row>
    <row r="285" spans="1:6">
      <c r="A285" s="8" t="s">
        <v>403</v>
      </c>
      <c r="B285" s="8" t="s">
        <v>185</v>
      </c>
      <c r="C285" s="8" t="s">
        <v>376</v>
      </c>
      <c r="D285" s="8" t="str">
        <f t="shared" si="8"/>
        <v>CE401MinorEHS</v>
      </c>
      <c r="E285" s="9">
        <v>3</v>
      </c>
      <c r="F285" t="str">
        <f t="shared" si="9"/>
        <v>C</v>
      </c>
    </row>
    <row r="286" spans="1:6">
      <c r="A286" s="8" t="s">
        <v>403</v>
      </c>
      <c r="B286" s="8" t="s">
        <v>374</v>
      </c>
      <c r="C286" s="8" t="s">
        <v>376</v>
      </c>
      <c r="D286" s="8" t="str">
        <f t="shared" si="8"/>
        <v>CE401N/AEHS</v>
      </c>
      <c r="E286" s="9">
        <v>5</v>
      </c>
      <c r="F286" t="str">
        <f t="shared" si="9"/>
        <v>C</v>
      </c>
    </row>
    <row r="287" spans="1:6">
      <c r="A287" s="8" t="s">
        <v>404</v>
      </c>
      <c r="B287" s="8" t="s">
        <v>120</v>
      </c>
      <c r="C287" s="8" t="s">
        <v>376</v>
      </c>
      <c r="D287" s="8" t="str">
        <f t="shared" si="8"/>
        <v>CE402ConformanceEHS</v>
      </c>
      <c r="E287" s="9">
        <v>1</v>
      </c>
      <c r="F287" t="str">
        <f t="shared" si="9"/>
        <v>C</v>
      </c>
    </row>
    <row r="288" spans="1:6">
      <c r="A288" s="8" t="s">
        <v>404</v>
      </c>
      <c r="B288" s="8" t="s">
        <v>114</v>
      </c>
      <c r="C288" s="8" t="s">
        <v>376</v>
      </c>
      <c r="D288" s="8" t="str">
        <f t="shared" si="8"/>
        <v>CE402PriorityEHS</v>
      </c>
      <c r="E288" s="9">
        <v>0</v>
      </c>
      <c r="F288" t="str">
        <f t="shared" si="9"/>
        <v>C</v>
      </c>
    </row>
    <row r="289" spans="1:6">
      <c r="A289" s="8" t="s">
        <v>404</v>
      </c>
      <c r="B289" s="8" t="s">
        <v>112</v>
      </c>
      <c r="C289" s="8" t="s">
        <v>376</v>
      </c>
      <c r="D289" s="8" t="str">
        <f t="shared" si="8"/>
        <v>CE402MajorEHS</v>
      </c>
      <c r="E289" s="9">
        <v>0.2</v>
      </c>
      <c r="F289" t="str">
        <f t="shared" si="9"/>
        <v>C</v>
      </c>
    </row>
    <row r="290" spans="1:6">
      <c r="A290" s="8" t="s">
        <v>404</v>
      </c>
      <c r="B290" s="8" t="s">
        <v>185</v>
      </c>
      <c r="C290" s="8" t="s">
        <v>376</v>
      </c>
      <c r="D290" s="8" t="str">
        <f t="shared" si="8"/>
        <v>CE402MinorEHS</v>
      </c>
      <c r="E290" s="9">
        <v>0.5</v>
      </c>
      <c r="F290" t="str">
        <f t="shared" si="9"/>
        <v>C</v>
      </c>
    </row>
    <row r="291" spans="1:6">
      <c r="A291" s="8" t="s">
        <v>404</v>
      </c>
      <c r="B291" s="8" t="s">
        <v>374</v>
      </c>
      <c r="C291" s="8" t="s">
        <v>376</v>
      </c>
      <c r="D291" s="8" t="str">
        <f t="shared" si="8"/>
        <v>CE402N/AEHS</v>
      </c>
      <c r="E291" s="9">
        <v>1</v>
      </c>
      <c r="F291" t="str">
        <f t="shared" si="9"/>
        <v>C</v>
      </c>
    </row>
    <row r="292" spans="1:6">
      <c r="A292" s="8" t="s">
        <v>405</v>
      </c>
      <c r="B292" s="8" t="s">
        <v>120</v>
      </c>
      <c r="C292" s="8" t="s">
        <v>376</v>
      </c>
      <c r="D292" s="8" t="str">
        <f t="shared" si="8"/>
        <v>CE501ConformanceEHS</v>
      </c>
      <c r="E292" s="9">
        <v>5</v>
      </c>
      <c r="F292" t="str">
        <f t="shared" si="9"/>
        <v>C</v>
      </c>
    </row>
    <row r="293" spans="1:6">
      <c r="A293" s="8" t="s">
        <v>405</v>
      </c>
      <c r="B293" s="8" t="s">
        <v>114</v>
      </c>
      <c r="C293" s="8" t="s">
        <v>376</v>
      </c>
      <c r="D293" s="8" t="str">
        <f t="shared" si="8"/>
        <v>CE501PriorityEHS</v>
      </c>
      <c r="E293" s="9">
        <v>0</v>
      </c>
      <c r="F293" t="str">
        <f t="shared" si="9"/>
        <v>C</v>
      </c>
    </row>
    <row r="294" spans="1:6">
      <c r="A294" s="8" t="s">
        <v>405</v>
      </c>
      <c r="B294" s="8" t="s">
        <v>112</v>
      </c>
      <c r="C294" s="8" t="s">
        <v>376</v>
      </c>
      <c r="D294" s="8" t="str">
        <f t="shared" si="8"/>
        <v>CE501MajorEHS</v>
      </c>
      <c r="E294" s="9">
        <v>1</v>
      </c>
      <c r="F294" t="str">
        <f t="shared" si="9"/>
        <v>C</v>
      </c>
    </row>
    <row r="295" spans="1:6">
      <c r="A295" s="8" t="s">
        <v>405</v>
      </c>
      <c r="B295" s="8" t="s">
        <v>185</v>
      </c>
      <c r="C295" s="8" t="s">
        <v>376</v>
      </c>
      <c r="D295" s="8" t="str">
        <f t="shared" si="8"/>
        <v>CE501MinorEHS</v>
      </c>
      <c r="E295" s="9">
        <v>3</v>
      </c>
      <c r="F295" t="str">
        <f t="shared" si="9"/>
        <v>C</v>
      </c>
    </row>
    <row r="296" spans="1:6">
      <c r="A296" s="8" t="s">
        <v>405</v>
      </c>
      <c r="B296" s="8" t="s">
        <v>374</v>
      </c>
      <c r="C296" s="8" t="s">
        <v>376</v>
      </c>
      <c r="D296" s="8" t="str">
        <f t="shared" si="8"/>
        <v>CE501N/AEHS</v>
      </c>
      <c r="E296" s="9">
        <v>5</v>
      </c>
      <c r="F296" t="str">
        <f t="shared" si="9"/>
        <v>C</v>
      </c>
    </row>
    <row r="297" spans="1:6">
      <c r="A297" s="8" t="s">
        <v>406</v>
      </c>
      <c r="B297" s="8" t="s">
        <v>120</v>
      </c>
      <c r="C297" s="8" t="s">
        <v>376</v>
      </c>
      <c r="D297" s="8" t="str">
        <f t="shared" si="8"/>
        <v>CE601ConformanceEHS</v>
      </c>
      <c r="E297" s="9">
        <v>3</v>
      </c>
      <c r="F297" t="str">
        <f t="shared" si="9"/>
        <v>C</v>
      </c>
    </row>
    <row r="298" spans="1:6">
      <c r="A298" s="8" t="s">
        <v>406</v>
      </c>
      <c r="B298" s="8" t="s">
        <v>114</v>
      </c>
      <c r="C298" s="8" t="s">
        <v>376</v>
      </c>
      <c r="D298" s="8" t="str">
        <f t="shared" si="8"/>
        <v>CE601PriorityEHS</v>
      </c>
      <c r="E298" s="9">
        <v>0</v>
      </c>
      <c r="F298" t="str">
        <f t="shared" si="9"/>
        <v>C</v>
      </c>
    </row>
    <row r="299" spans="1:6">
      <c r="A299" s="8" t="s">
        <v>406</v>
      </c>
      <c r="B299" s="8" t="s">
        <v>112</v>
      </c>
      <c r="C299" s="8" t="s">
        <v>376</v>
      </c>
      <c r="D299" s="8" t="str">
        <f t="shared" si="8"/>
        <v>CE601MajorEHS</v>
      </c>
      <c r="E299" s="9">
        <v>1</v>
      </c>
      <c r="F299" t="str">
        <f t="shared" si="9"/>
        <v>C</v>
      </c>
    </row>
    <row r="300" spans="1:6">
      <c r="A300" s="8" t="s">
        <v>406</v>
      </c>
      <c r="B300" s="8" t="s">
        <v>185</v>
      </c>
      <c r="C300" s="8" t="s">
        <v>376</v>
      </c>
      <c r="D300" s="8" t="str">
        <f t="shared" si="8"/>
        <v>CE601MinorEHS</v>
      </c>
      <c r="E300" s="9">
        <v>2</v>
      </c>
      <c r="F300" t="str">
        <f t="shared" si="9"/>
        <v>C</v>
      </c>
    </row>
    <row r="301" spans="1:6">
      <c r="A301" s="8" t="s">
        <v>406</v>
      </c>
      <c r="B301" s="8" t="s">
        <v>374</v>
      </c>
      <c r="C301" s="8" t="s">
        <v>376</v>
      </c>
      <c r="D301" s="8" t="str">
        <f t="shared" si="8"/>
        <v>CE601N/AEHS</v>
      </c>
      <c r="E301" s="9">
        <v>3</v>
      </c>
      <c r="F301" t="str">
        <f t="shared" si="9"/>
        <v>C</v>
      </c>
    </row>
    <row r="302" spans="1:6">
      <c r="A302" s="8" t="s">
        <v>407</v>
      </c>
      <c r="B302" s="8" t="s">
        <v>120</v>
      </c>
      <c r="C302" s="8" t="s">
        <v>376</v>
      </c>
      <c r="D302" s="8" t="str">
        <f t="shared" si="8"/>
        <v>CM101ConformanceEHS</v>
      </c>
      <c r="E302" s="9">
        <v>1</v>
      </c>
      <c r="F302" t="str">
        <f t="shared" si="9"/>
        <v>C</v>
      </c>
    </row>
    <row r="303" spans="1:6">
      <c r="A303" s="8" t="s">
        <v>407</v>
      </c>
      <c r="B303" s="8" t="s">
        <v>114</v>
      </c>
      <c r="C303" s="8" t="s">
        <v>376</v>
      </c>
      <c r="D303" s="8" t="str">
        <f t="shared" si="8"/>
        <v>CM101PriorityEHS</v>
      </c>
      <c r="E303" s="9">
        <v>0</v>
      </c>
      <c r="F303" t="str">
        <f t="shared" si="9"/>
        <v>C</v>
      </c>
    </row>
    <row r="304" spans="1:6">
      <c r="A304" s="8" t="s">
        <v>407</v>
      </c>
      <c r="B304" s="8" t="s">
        <v>112</v>
      </c>
      <c r="C304" s="8" t="s">
        <v>376</v>
      </c>
      <c r="D304" s="8" t="str">
        <f t="shared" si="8"/>
        <v>CM101MajorEHS</v>
      </c>
      <c r="E304" s="9">
        <v>0.2</v>
      </c>
      <c r="F304" t="str">
        <f t="shared" si="9"/>
        <v>C</v>
      </c>
    </row>
    <row r="305" spans="1:6">
      <c r="A305" s="8" t="s">
        <v>407</v>
      </c>
      <c r="B305" s="8" t="s">
        <v>185</v>
      </c>
      <c r="C305" s="8" t="s">
        <v>376</v>
      </c>
      <c r="D305" s="8" t="str">
        <f t="shared" si="8"/>
        <v>CM101MinorEHS</v>
      </c>
      <c r="E305" s="9">
        <v>0.5</v>
      </c>
      <c r="F305" t="str">
        <f t="shared" si="9"/>
        <v>C</v>
      </c>
    </row>
    <row r="306" spans="1:6">
      <c r="A306" s="8" t="s">
        <v>407</v>
      </c>
      <c r="B306" s="8" t="s">
        <v>374</v>
      </c>
      <c r="C306" s="8" t="s">
        <v>376</v>
      </c>
      <c r="D306" s="8" t="str">
        <f t="shared" si="8"/>
        <v>CM101N/AEHS</v>
      </c>
      <c r="E306" s="9">
        <v>1</v>
      </c>
      <c r="F306" t="str">
        <f t="shared" si="9"/>
        <v>C</v>
      </c>
    </row>
    <row r="307" spans="1:6">
      <c r="A307" s="8" t="s">
        <v>408</v>
      </c>
      <c r="B307" s="8" t="s">
        <v>120</v>
      </c>
      <c r="C307" s="8" t="s">
        <v>376</v>
      </c>
      <c r="D307" s="8" t="str">
        <f t="shared" si="8"/>
        <v>CM102ConformanceEHS</v>
      </c>
      <c r="E307" s="9">
        <v>2</v>
      </c>
      <c r="F307" t="str">
        <f t="shared" si="9"/>
        <v>C</v>
      </c>
    </row>
    <row r="308" spans="1:6">
      <c r="A308" s="8" t="s">
        <v>408</v>
      </c>
      <c r="B308" s="8" t="s">
        <v>114</v>
      </c>
      <c r="C308" s="8" t="s">
        <v>376</v>
      </c>
      <c r="D308" s="8" t="str">
        <f t="shared" si="8"/>
        <v>CM102PriorityEHS</v>
      </c>
      <c r="E308" s="9">
        <v>0</v>
      </c>
      <c r="F308" t="str">
        <f t="shared" si="9"/>
        <v>C</v>
      </c>
    </row>
    <row r="309" spans="1:6">
      <c r="A309" s="8" t="s">
        <v>408</v>
      </c>
      <c r="B309" s="8" t="s">
        <v>112</v>
      </c>
      <c r="C309" s="8" t="s">
        <v>376</v>
      </c>
      <c r="D309" s="8" t="str">
        <f t="shared" si="8"/>
        <v>CM102MajorEHS</v>
      </c>
      <c r="E309" s="9">
        <v>0.5</v>
      </c>
      <c r="F309" t="str">
        <f t="shared" si="9"/>
        <v>C</v>
      </c>
    </row>
    <row r="310" spans="1:6">
      <c r="A310" s="8" t="s">
        <v>408</v>
      </c>
      <c r="B310" s="8" t="s">
        <v>185</v>
      </c>
      <c r="C310" s="8" t="s">
        <v>376</v>
      </c>
      <c r="D310" s="8" t="str">
        <f t="shared" si="8"/>
        <v>CM102MinorEHS</v>
      </c>
      <c r="E310" s="9">
        <v>1</v>
      </c>
      <c r="F310" t="str">
        <f t="shared" si="9"/>
        <v>C</v>
      </c>
    </row>
    <row r="311" spans="1:6">
      <c r="A311" s="8" t="s">
        <v>408</v>
      </c>
      <c r="B311" s="8" t="s">
        <v>374</v>
      </c>
      <c r="C311" s="8" t="s">
        <v>376</v>
      </c>
      <c r="D311" s="8" t="str">
        <f t="shared" si="8"/>
        <v>CM102N/AEHS</v>
      </c>
      <c r="E311" s="9">
        <v>2</v>
      </c>
      <c r="F311" t="str">
        <f t="shared" si="9"/>
        <v>C</v>
      </c>
    </row>
    <row r="312" spans="1:6">
      <c r="A312" s="8" t="s">
        <v>409</v>
      </c>
      <c r="B312" s="8" t="s">
        <v>120</v>
      </c>
      <c r="C312" s="8" t="s">
        <v>376</v>
      </c>
      <c r="D312" s="8" t="str">
        <f t="shared" si="8"/>
        <v>CM201ConformanceEHS</v>
      </c>
      <c r="E312" s="9">
        <v>1</v>
      </c>
      <c r="F312" t="str">
        <f t="shared" si="9"/>
        <v>C</v>
      </c>
    </row>
    <row r="313" spans="1:6">
      <c r="A313" s="8" t="s">
        <v>409</v>
      </c>
      <c r="B313" s="8" t="s">
        <v>114</v>
      </c>
      <c r="C313" s="8" t="s">
        <v>376</v>
      </c>
      <c r="D313" s="8" t="str">
        <f t="shared" si="8"/>
        <v>CM201PriorityEHS</v>
      </c>
      <c r="E313" s="9">
        <v>0</v>
      </c>
      <c r="F313" t="str">
        <f t="shared" si="9"/>
        <v>C</v>
      </c>
    </row>
    <row r="314" spans="1:6">
      <c r="A314" s="8" t="s">
        <v>409</v>
      </c>
      <c r="B314" s="8" t="s">
        <v>112</v>
      </c>
      <c r="C314" s="8" t="s">
        <v>376</v>
      </c>
      <c r="D314" s="8" t="str">
        <f t="shared" si="8"/>
        <v>CM201MajorEHS</v>
      </c>
      <c r="E314" s="9">
        <v>0.2</v>
      </c>
      <c r="F314" t="str">
        <f t="shared" si="9"/>
        <v>C</v>
      </c>
    </row>
    <row r="315" spans="1:6">
      <c r="A315" s="8" t="s">
        <v>409</v>
      </c>
      <c r="B315" s="8" t="s">
        <v>185</v>
      </c>
      <c r="C315" s="8" t="s">
        <v>376</v>
      </c>
      <c r="D315" s="8" t="str">
        <f t="shared" si="8"/>
        <v>CM201MinorEHS</v>
      </c>
      <c r="E315" s="9">
        <v>0.5</v>
      </c>
      <c r="F315" t="str">
        <f t="shared" si="9"/>
        <v>C</v>
      </c>
    </row>
    <row r="316" spans="1:6">
      <c r="A316" s="8" t="s">
        <v>409</v>
      </c>
      <c r="B316" s="8" t="s">
        <v>374</v>
      </c>
      <c r="C316" s="8" t="s">
        <v>376</v>
      </c>
      <c r="D316" s="8" t="str">
        <f t="shared" si="8"/>
        <v>CM201N/AEHS</v>
      </c>
      <c r="E316" s="9">
        <v>1</v>
      </c>
      <c r="F316" t="str">
        <f t="shared" si="9"/>
        <v>C</v>
      </c>
    </row>
    <row r="317" spans="1:6">
      <c r="A317" s="8" t="s">
        <v>410</v>
      </c>
      <c r="B317" s="8" t="s">
        <v>120</v>
      </c>
      <c r="C317" s="8" t="s">
        <v>376</v>
      </c>
      <c r="D317" s="8" t="str">
        <f t="shared" si="8"/>
        <v>CM202ConformanceEHS</v>
      </c>
      <c r="E317" s="9">
        <v>1</v>
      </c>
      <c r="F317" t="str">
        <f t="shared" si="9"/>
        <v>C</v>
      </c>
    </row>
    <row r="318" spans="1:6">
      <c r="A318" s="8" t="s">
        <v>410</v>
      </c>
      <c r="B318" s="8" t="s">
        <v>114</v>
      </c>
      <c r="C318" s="8" t="s">
        <v>376</v>
      </c>
      <c r="D318" s="8" t="str">
        <f t="shared" si="8"/>
        <v>CM202PriorityEHS</v>
      </c>
      <c r="E318" s="9">
        <v>0</v>
      </c>
      <c r="F318" t="str">
        <f t="shared" si="9"/>
        <v>C</v>
      </c>
    </row>
    <row r="319" spans="1:6">
      <c r="A319" s="8" t="s">
        <v>410</v>
      </c>
      <c r="B319" s="8" t="s">
        <v>112</v>
      </c>
      <c r="C319" s="8" t="s">
        <v>376</v>
      </c>
      <c r="D319" s="8" t="str">
        <f t="shared" si="8"/>
        <v>CM202MajorEHS</v>
      </c>
      <c r="E319" s="9">
        <v>0.2</v>
      </c>
      <c r="F319" t="str">
        <f t="shared" si="9"/>
        <v>C</v>
      </c>
    </row>
    <row r="320" spans="1:6">
      <c r="A320" s="8" t="s">
        <v>410</v>
      </c>
      <c r="B320" s="8" t="s">
        <v>185</v>
      </c>
      <c r="C320" s="8" t="s">
        <v>376</v>
      </c>
      <c r="D320" s="8" t="str">
        <f t="shared" si="8"/>
        <v>CM202MinorEHS</v>
      </c>
      <c r="E320" s="9">
        <v>0.5</v>
      </c>
      <c r="F320" t="str">
        <f t="shared" si="9"/>
        <v>C</v>
      </c>
    </row>
    <row r="321" spans="1:6">
      <c r="A321" s="8" t="s">
        <v>410</v>
      </c>
      <c r="B321" s="8" t="s">
        <v>374</v>
      </c>
      <c r="C321" s="8" t="s">
        <v>376</v>
      </c>
      <c r="D321" s="8" t="str">
        <f t="shared" si="8"/>
        <v>CM202N/AEHS</v>
      </c>
      <c r="E321" s="9">
        <v>1</v>
      </c>
      <c r="F321" t="str">
        <f t="shared" si="9"/>
        <v>C</v>
      </c>
    </row>
    <row r="322" spans="1:6">
      <c r="A322" s="8" t="s">
        <v>411</v>
      </c>
      <c r="B322" s="8" t="s">
        <v>120</v>
      </c>
      <c r="C322" s="8" t="s">
        <v>376</v>
      </c>
      <c r="D322" s="8" t="str">
        <f t="shared" si="8"/>
        <v>CM203ConformanceEHS</v>
      </c>
      <c r="E322" s="9">
        <v>2</v>
      </c>
      <c r="F322" t="str">
        <f t="shared" si="9"/>
        <v>C</v>
      </c>
    </row>
    <row r="323" spans="1:6">
      <c r="A323" s="8" t="s">
        <v>411</v>
      </c>
      <c r="B323" s="8" t="s">
        <v>114</v>
      </c>
      <c r="C323" s="8" t="s">
        <v>376</v>
      </c>
      <c r="D323" s="8" t="str">
        <f t="shared" ref="D323:D386" si="10">A323&amp;B323&amp;C323</f>
        <v>CM203PriorityEHS</v>
      </c>
      <c r="E323" s="9">
        <v>0</v>
      </c>
      <c r="F323" t="str">
        <f t="shared" ref="F323:F386" si="11">+MID(A323,1,1)</f>
        <v>C</v>
      </c>
    </row>
    <row r="324" spans="1:6">
      <c r="A324" s="8" t="s">
        <v>411</v>
      </c>
      <c r="B324" s="8" t="s">
        <v>112</v>
      </c>
      <c r="C324" s="8" t="s">
        <v>376</v>
      </c>
      <c r="D324" s="8" t="str">
        <f t="shared" si="10"/>
        <v>CM203MajorEHS</v>
      </c>
      <c r="E324" s="9">
        <v>0.5</v>
      </c>
      <c r="F324" t="str">
        <f t="shared" si="11"/>
        <v>C</v>
      </c>
    </row>
    <row r="325" spans="1:6">
      <c r="A325" s="8" t="s">
        <v>411</v>
      </c>
      <c r="B325" s="8" t="s">
        <v>185</v>
      </c>
      <c r="C325" s="8" t="s">
        <v>376</v>
      </c>
      <c r="D325" s="8" t="str">
        <f t="shared" si="10"/>
        <v>CM203MinorEHS</v>
      </c>
      <c r="E325" s="9">
        <v>1</v>
      </c>
      <c r="F325" t="str">
        <f t="shared" si="11"/>
        <v>C</v>
      </c>
    </row>
    <row r="326" spans="1:6">
      <c r="A326" s="8" t="s">
        <v>411</v>
      </c>
      <c r="B326" s="8" t="s">
        <v>374</v>
      </c>
      <c r="C326" s="8" t="s">
        <v>376</v>
      </c>
      <c r="D326" s="8" t="str">
        <f t="shared" si="10"/>
        <v>CM203N/AEHS</v>
      </c>
      <c r="E326" s="9">
        <v>2</v>
      </c>
      <c r="F326" t="str">
        <f t="shared" si="11"/>
        <v>C</v>
      </c>
    </row>
    <row r="327" spans="1:6">
      <c r="A327" s="8" t="s">
        <v>412</v>
      </c>
      <c r="B327" s="8" t="s">
        <v>120</v>
      </c>
      <c r="C327" s="8" t="s">
        <v>376</v>
      </c>
      <c r="D327" s="8" t="str">
        <f t="shared" si="10"/>
        <v>CM301ConformanceEHS</v>
      </c>
      <c r="E327" s="9">
        <v>1</v>
      </c>
      <c r="F327" t="str">
        <f t="shared" si="11"/>
        <v>C</v>
      </c>
    </row>
    <row r="328" spans="1:6">
      <c r="A328" s="8" t="s">
        <v>412</v>
      </c>
      <c r="B328" s="8" t="s">
        <v>114</v>
      </c>
      <c r="C328" s="8" t="s">
        <v>376</v>
      </c>
      <c r="D328" s="8" t="str">
        <f t="shared" si="10"/>
        <v>CM301PriorityEHS</v>
      </c>
      <c r="E328" s="9">
        <v>0</v>
      </c>
      <c r="F328" t="str">
        <f t="shared" si="11"/>
        <v>C</v>
      </c>
    </row>
    <row r="329" spans="1:6">
      <c r="A329" s="8" t="s">
        <v>412</v>
      </c>
      <c r="B329" s="8" t="s">
        <v>112</v>
      </c>
      <c r="C329" s="8" t="s">
        <v>376</v>
      </c>
      <c r="D329" s="8" t="str">
        <f t="shared" si="10"/>
        <v>CM301MajorEHS</v>
      </c>
      <c r="E329" s="9">
        <v>0.2</v>
      </c>
      <c r="F329" t="str">
        <f t="shared" si="11"/>
        <v>C</v>
      </c>
    </row>
    <row r="330" spans="1:6">
      <c r="A330" s="8" t="s">
        <v>412</v>
      </c>
      <c r="B330" s="8" t="s">
        <v>185</v>
      </c>
      <c r="C330" s="8" t="s">
        <v>376</v>
      </c>
      <c r="D330" s="8" t="str">
        <f t="shared" si="10"/>
        <v>CM301MinorEHS</v>
      </c>
      <c r="E330" s="9">
        <v>0.5</v>
      </c>
      <c r="F330" t="str">
        <f t="shared" si="11"/>
        <v>C</v>
      </c>
    </row>
    <row r="331" spans="1:6">
      <c r="A331" s="8" t="s">
        <v>412</v>
      </c>
      <c r="B331" s="8" t="s">
        <v>374</v>
      </c>
      <c r="C331" s="8" t="s">
        <v>376</v>
      </c>
      <c r="D331" s="8" t="str">
        <f t="shared" si="10"/>
        <v>CM301N/AEHS</v>
      </c>
      <c r="E331" s="9">
        <v>1</v>
      </c>
      <c r="F331" t="str">
        <f t="shared" si="11"/>
        <v>C</v>
      </c>
    </row>
    <row r="332" spans="1:6">
      <c r="A332" s="8" t="s">
        <v>413</v>
      </c>
      <c r="B332" s="8" t="s">
        <v>120</v>
      </c>
      <c r="C332" s="8" t="s">
        <v>376</v>
      </c>
      <c r="D332" s="8" t="str">
        <f t="shared" si="10"/>
        <v>CM302ConformanceEHS</v>
      </c>
      <c r="E332" s="9">
        <v>1</v>
      </c>
      <c r="F332" t="str">
        <f t="shared" si="11"/>
        <v>C</v>
      </c>
    </row>
    <row r="333" spans="1:6">
      <c r="A333" s="8" t="s">
        <v>413</v>
      </c>
      <c r="B333" s="8" t="s">
        <v>114</v>
      </c>
      <c r="C333" s="8" t="s">
        <v>376</v>
      </c>
      <c r="D333" s="8" t="str">
        <f t="shared" si="10"/>
        <v>CM302PriorityEHS</v>
      </c>
      <c r="E333" s="9">
        <v>0</v>
      </c>
      <c r="F333" t="str">
        <f t="shared" si="11"/>
        <v>C</v>
      </c>
    </row>
    <row r="334" spans="1:6">
      <c r="A334" s="8" t="s">
        <v>413</v>
      </c>
      <c r="B334" s="8" t="s">
        <v>112</v>
      </c>
      <c r="C334" s="8" t="s">
        <v>376</v>
      </c>
      <c r="D334" s="8" t="str">
        <f t="shared" si="10"/>
        <v>CM302MajorEHS</v>
      </c>
      <c r="E334" s="9">
        <v>0.2</v>
      </c>
      <c r="F334" t="str">
        <f t="shared" si="11"/>
        <v>C</v>
      </c>
    </row>
    <row r="335" spans="1:6">
      <c r="A335" s="8" t="s">
        <v>413</v>
      </c>
      <c r="B335" s="8" t="s">
        <v>185</v>
      </c>
      <c r="C335" s="8" t="s">
        <v>376</v>
      </c>
      <c r="D335" s="8" t="str">
        <f t="shared" si="10"/>
        <v>CM302MinorEHS</v>
      </c>
      <c r="E335" s="9">
        <v>0.5</v>
      </c>
      <c r="F335" t="str">
        <f t="shared" si="11"/>
        <v>C</v>
      </c>
    </row>
    <row r="336" spans="1:6">
      <c r="A336" s="8" t="s">
        <v>413</v>
      </c>
      <c r="B336" s="8" t="s">
        <v>374</v>
      </c>
      <c r="C336" s="8" t="s">
        <v>376</v>
      </c>
      <c r="D336" s="8" t="str">
        <f t="shared" si="10"/>
        <v>CM302N/AEHS</v>
      </c>
      <c r="E336" s="9">
        <v>1</v>
      </c>
      <c r="F336" t="str">
        <f t="shared" si="11"/>
        <v>C</v>
      </c>
    </row>
    <row r="337" spans="1:6">
      <c r="A337" s="8" t="s">
        <v>414</v>
      </c>
      <c r="B337" s="8" t="s">
        <v>120</v>
      </c>
      <c r="C337" s="8" t="s">
        <v>376</v>
      </c>
      <c r="D337" s="8" t="str">
        <f t="shared" si="10"/>
        <v>CM401ConformanceEHS</v>
      </c>
      <c r="E337" s="9">
        <v>1</v>
      </c>
      <c r="F337" t="str">
        <f t="shared" si="11"/>
        <v>C</v>
      </c>
    </row>
    <row r="338" spans="1:6">
      <c r="A338" s="8" t="s">
        <v>414</v>
      </c>
      <c r="B338" s="8" t="s">
        <v>114</v>
      </c>
      <c r="C338" s="8" t="s">
        <v>376</v>
      </c>
      <c r="D338" s="8" t="str">
        <f t="shared" si="10"/>
        <v>CM401PriorityEHS</v>
      </c>
      <c r="E338" s="9">
        <v>0</v>
      </c>
      <c r="F338" t="str">
        <f t="shared" si="11"/>
        <v>C</v>
      </c>
    </row>
    <row r="339" spans="1:6">
      <c r="A339" s="8" t="s">
        <v>414</v>
      </c>
      <c r="B339" s="8" t="s">
        <v>112</v>
      </c>
      <c r="C339" s="8" t="s">
        <v>376</v>
      </c>
      <c r="D339" s="8" t="str">
        <f t="shared" si="10"/>
        <v>CM401MajorEHS</v>
      </c>
      <c r="E339" s="9">
        <v>0.2</v>
      </c>
      <c r="F339" t="str">
        <f t="shared" si="11"/>
        <v>C</v>
      </c>
    </row>
    <row r="340" spans="1:6">
      <c r="A340" s="8" t="s">
        <v>414</v>
      </c>
      <c r="B340" s="8" t="s">
        <v>185</v>
      </c>
      <c r="C340" s="8" t="s">
        <v>376</v>
      </c>
      <c r="D340" s="8" t="str">
        <f t="shared" si="10"/>
        <v>CM401MinorEHS</v>
      </c>
      <c r="E340" s="9">
        <v>0.5</v>
      </c>
      <c r="F340" t="str">
        <f t="shared" si="11"/>
        <v>C</v>
      </c>
    </row>
    <row r="341" spans="1:6">
      <c r="A341" s="8" t="s">
        <v>414</v>
      </c>
      <c r="B341" s="8" t="s">
        <v>374</v>
      </c>
      <c r="C341" s="8" t="s">
        <v>376</v>
      </c>
      <c r="D341" s="8" t="str">
        <f t="shared" si="10"/>
        <v>CM401N/AEHS</v>
      </c>
      <c r="E341" s="9">
        <v>1</v>
      </c>
      <c r="F341" t="str">
        <f t="shared" si="11"/>
        <v>C</v>
      </c>
    </row>
    <row r="342" spans="1:6">
      <c r="A342" s="8" t="s">
        <v>415</v>
      </c>
      <c r="B342" s="8" t="s">
        <v>120</v>
      </c>
      <c r="C342" s="8" t="s">
        <v>376</v>
      </c>
      <c r="D342" s="8" t="str">
        <f t="shared" si="10"/>
        <v>CM402ConformanceEHS</v>
      </c>
      <c r="E342" s="9">
        <v>1</v>
      </c>
      <c r="F342" t="str">
        <f t="shared" si="11"/>
        <v>C</v>
      </c>
    </row>
    <row r="343" spans="1:6">
      <c r="A343" s="8" t="s">
        <v>415</v>
      </c>
      <c r="B343" s="8" t="s">
        <v>114</v>
      </c>
      <c r="C343" s="8" t="s">
        <v>376</v>
      </c>
      <c r="D343" s="8" t="str">
        <f t="shared" si="10"/>
        <v>CM402PriorityEHS</v>
      </c>
      <c r="E343" s="9">
        <v>0</v>
      </c>
      <c r="F343" t="str">
        <f t="shared" si="11"/>
        <v>C</v>
      </c>
    </row>
    <row r="344" spans="1:6">
      <c r="A344" s="8" t="s">
        <v>415</v>
      </c>
      <c r="B344" s="8" t="s">
        <v>112</v>
      </c>
      <c r="C344" s="8" t="s">
        <v>376</v>
      </c>
      <c r="D344" s="8" t="str">
        <f t="shared" si="10"/>
        <v>CM402MajorEHS</v>
      </c>
      <c r="E344" s="9">
        <v>0.2</v>
      </c>
      <c r="F344" t="str">
        <f t="shared" si="11"/>
        <v>C</v>
      </c>
    </row>
    <row r="345" spans="1:6">
      <c r="A345" s="8" t="s">
        <v>415</v>
      </c>
      <c r="B345" s="8" t="s">
        <v>185</v>
      </c>
      <c r="C345" s="8" t="s">
        <v>376</v>
      </c>
      <c r="D345" s="8" t="str">
        <f t="shared" si="10"/>
        <v>CM402MinorEHS</v>
      </c>
      <c r="E345" s="9">
        <v>0.5</v>
      </c>
      <c r="F345" t="str">
        <f t="shared" si="11"/>
        <v>C</v>
      </c>
    </row>
    <row r="346" spans="1:6">
      <c r="A346" s="8" t="s">
        <v>415</v>
      </c>
      <c r="B346" s="8" t="s">
        <v>374</v>
      </c>
      <c r="C346" s="8" t="s">
        <v>376</v>
      </c>
      <c r="D346" s="8" t="str">
        <f t="shared" si="10"/>
        <v>CM402N/AEHS</v>
      </c>
      <c r="E346" s="9">
        <v>1</v>
      </c>
      <c r="F346" t="str">
        <f t="shared" si="11"/>
        <v>C</v>
      </c>
    </row>
    <row r="347" spans="1:6">
      <c r="A347" s="8" t="s">
        <v>416</v>
      </c>
      <c r="B347" s="8" t="s">
        <v>120</v>
      </c>
      <c r="C347" s="8" t="s">
        <v>376</v>
      </c>
      <c r="D347" s="8" t="str">
        <f t="shared" si="10"/>
        <v>CM403ConformanceEHS</v>
      </c>
      <c r="E347" s="9">
        <v>1</v>
      </c>
      <c r="F347" t="str">
        <f t="shared" si="11"/>
        <v>C</v>
      </c>
    </row>
    <row r="348" spans="1:6">
      <c r="A348" s="8" t="s">
        <v>416</v>
      </c>
      <c r="B348" s="8" t="s">
        <v>114</v>
      </c>
      <c r="C348" s="8" t="s">
        <v>376</v>
      </c>
      <c r="D348" s="8" t="str">
        <f t="shared" si="10"/>
        <v>CM403PriorityEHS</v>
      </c>
      <c r="E348" s="9">
        <v>0</v>
      </c>
      <c r="F348" t="str">
        <f t="shared" si="11"/>
        <v>C</v>
      </c>
    </row>
    <row r="349" spans="1:6">
      <c r="A349" s="8" t="s">
        <v>416</v>
      </c>
      <c r="B349" s="8" t="s">
        <v>112</v>
      </c>
      <c r="C349" s="8" t="s">
        <v>376</v>
      </c>
      <c r="D349" s="8" t="str">
        <f t="shared" si="10"/>
        <v>CM403MajorEHS</v>
      </c>
      <c r="E349" s="9">
        <v>0.2</v>
      </c>
      <c r="F349" t="str">
        <f t="shared" si="11"/>
        <v>C</v>
      </c>
    </row>
    <row r="350" spans="1:6">
      <c r="A350" s="8" t="s">
        <v>416</v>
      </c>
      <c r="B350" s="8" t="s">
        <v>185</v>
      </c>
      <c r="C350" s="8" t="s">
        <v>376</v>
      </c>
      <c r="D350" s="8" t="str">
        <f t="shared" si="10"/>
        <v>CM403MinorEHS</v>
      </c>
      <c r="E350" s="9">
        <v>0.5</v>
      </c>
      <c r="F350" t="str">
        <f t="shared" si="11"/>
        <v>C</v>
      </c>
    </row>
    <row r="351" spans="1:6">
      <c r="A351" s="8" t="s">
        <v>416</v>
      </c>
      <c r="B351" s="8" t="s">
        <v>374</v>
      </c>
      <c r="C351" s="8" t="s">
        <v>376</v>
      </c>
      <c r="D351" s="8" t="str">
        <f t="shared" si="10"/>
        <v>CM403N/AEHS</v>
      </c>
      <c r="E351" s="9">
        <v>1</v>
      </c>
      <c r="F351" t="str">
        <f t="shared" si="11"/>
        <v>C</v>
      </c>
    </row>
    <row r="352" spans="1:6">
      <c r="A352" s="4" t="s">
        <v>247</v>
      </c>
      <c r="B352" s="4" t="s">
        <v>120</v>
      </c>
      <c r="C352" s="4" t="s">
        <v>118</v>
      </c>
      <c r="D352" s="4" t="str">
        <f t="shared" si="10"/>
        <v>DE101ConformanceLabor</v>
      </c>
      <c r="E352" s="7">
        <v>2</v>
      </c>
      <c r="F352" t="str">
        <f t="shared" si="11"/>
        <v>D</v>
      </c>
    </row>
    <row r="353" spans="1:6">
      <c r="A353" s="4" t="s">
        <v>247</v>
      </c>
      <c r="B353" s="4" t="s">
        <v>114</v>
      </c>
      <c r="C353" s="4" t="s">
        <v>118</v>
      </c>
      <c r="D353" s="4" t="str">
        <f t="shared" si="10"/>
        <v>DE101PriorityLabor</v>
      </c>
      <c r="E353" s="7">
        <v>0</v>
      </c>
      <c r="F353" t="str">
        <f t="shared" si="11"/>
        <v>D</v>
      </c>
    </row>
    <row r="354" spans="1:6">
      <c r="A354" s="4" t="s">
        <v>247</v>
      </c>
      <c r="B354" s="4" t="s">
        <v>112</v>
      </c>
      <c r="C354" s="4" t="s">
        <v>118</v>
      </c>
      <c r="D354" s="4" t="str">
        <f t="shared" si="10"/>
        <v>DE101MajorLabor</v>
      </c>
      <c r="E354" s="7">
        <v>0.5</v>
      </c>
      <c r="F354" t="str">
        <f t="shared" si="11"/>
        <v>D</v>
      </c>
    </row>
    <row r="355" spans="1:6">
      <c r="A355" s="4" t="s">
        <v>247</v>
      </c>
      <c r="B355" s="4" t="s">
        <v>185</v>
      </c>
      <c r="C355" s="4" t="s">
        <v>118</v>
      </c>
      <c r="D355" s="4" t="str">
        <f t="shared" si="10"/>
        <v>DE101MinorLabor</v>
      </c>
      <c r="E355" s="7">
        <v>1</v>
      </c>
      <c r="F355" t="str">
        <f t="shared" si="11"/>
        <v>D</v>
      </c>
    </row>
    <row r="356" spans="1:6">
      <c r="A356" s="4" t="s">
        <v>247</v>
      </c>
      <c r="B356" s="4" t="s">
        <v>374</v>
      </c>
      <c r="C356" s="4" t="s">
        <v>118</v>
      </c>
      <c r="D356" s="4" t="str">
        <f t="shared" si="10"/>
        <v>DE101N/ALabor</v>
      </c>
      <c r="E356" s="7">
        <v>2</v>
      </c>
      <c r="F356" t="str">
        <f t="shared" si="11"/>
        <v>D</v>
      </c>
    </row>
    <row r="357" spans="1:6">
      <c r="A357" s="4" t="s">
        <v>252</v>
      </c>
      <c r="B357" s="4" t="s">
        <v>120</v>
      </c>
      <c r="C357" s="4" t="s">
        <v>118</v>
      </c>
      <c r="D357" s="4" t="str">
        <f t="shared" si="10"/>
        <v>DE201ConformanceLabor</v>
      </c>
      <c r="E357" s="7">
        <v>2</v>
      </c>
      <c r="F357" t="str">
        <f t="shared" si="11"/>
        <v>D</v>
      </c>
    </row>
    <row r="358" spans="1:6">
      <c r="A358" s="4" t="s">
        <v>252</v>
      </c>
      <c r="B358" s="4" t="s">
        <v>114</v>
      </c>
      <c r="C358" s="4" t="s">
        <v>118</v>
      </c>
      <c r="D358" s="4" t="str">
        <f t="shared" si="10"/>
        <v>DE201PriorityLabor</v>
      </c>
      <c r="E358" s="7">
        <v>0</v>
      </c>
      <c r="F358" t="str">
        <f t="shared" si="11"/>
        <v>D</v>
      </c>
    </row>
    <row r="359" spans="1:6">
      <c r="A359" s="4" t="s">
        <v>252</v>
      </c>
      <c r="B359" s="4" t="s">
        <v>112</v>
      </c>
      <c r="C359" s="4" t="s">
        <v>118</v>
      </c>
      <c r="D359" s="4" t="str">
        <f t="shared" si="10"/>
        <v>DE201MajorLabor</v>
      </c>
      <c r="E359" s="7">
        <v>0.5</v>
      </c>
      <c r="F359" t="str">
        <f t="shared" si="11"/>
        <v>D</v>
      </c>
    </row>
    <row r="360" spans="1:6">
      <c r="A360" s="4" t="s">
        <v>252</v>
      </c>
      <c r="B360" s="4" t="s">
        <v>185</v>
      </c>
      <c r="C360" s="4" t="s">
        <v>118</v>
      </c>
      <c r="D360" s="4" t="str">
        <f t="shared" si="10"/>
        <v>DE201MinorLabor</v>
      </c>
      <c r="E360" s="7">
        <v>1</v>
      </c>
      <c r="F360" t="str">
        <f t="shared" si="11"/>
        <v>D</v>
      </c>
    </row>
    <row r="361" spans="1:6">
      <c r="A361" s="4" t="s">
        <v>252</v>
      </c>
      <c r="B361" s="4" t="s">
        <v>374</v>
      </c>
      <c r="C361" s="4" t="s">
        <v>118</v>
      </c>
      <c r="D361" s="4" t="str">
        <f t="shared" si="10"/>
        <v>DE201N/ALabor</v>
      </c>
      <c r="E361" s="7">
        <v>2</v>
      </c>
      <c r="F361" t="str">
        <f t="shared" si="11"/>
        <v>D</v>
      </c>
    </row>
    <row r="362" spans="1:6">
      <c r="A362" s="4" t="s">
        <v>257</v>
      </c>
      <c r="B362" s="4" t="s">
        <v>120</v>
      </c>
      <c r="C362" s="4" t="s">
        <v>118</v>
      </c>
      <c r="D362" s="4" t="str">
        <f t="shared" si="10"/>
        <v>DE301ConformanceLabor</v>
      </c>
      <c r="E362" s="7">
        <v>2</v>
      </c>
      <c r="F362" t="str">
        <f t="shared" si="11"/>
        <v>D</v>
      </c>
    </row>
    <row r="363" spans="1:6">
      <c r="A363" s="4" t="s">
        <v>257</v>
      </c>
      <c r="B363" s="4" t="s">
        <v>114</v>
      </c>
      <c r="C363" s="4" t="s">
        <v>118</v>
      </c>
      <c r="D363" s="4" t="str">
        <f t="shared" si="10"/>
        <v>DE301PriorityLabor</v>
      </c>
      <c r="E363" s="7">
        <v>0</v>
      </c>
      <c r="F363" t="str">
        <f t="shared" si="11"/>
        <v>D</v>
      </c>
    </row>
    <row r="364" spans="1:6">
      <c r="A364" s="4" t="s">
        <v>257</v>
      </c>
      <c r="B364" s="4" t="s">
        <v>112</v>
      </c>
      <c r="C364" s="4" t="s">
        <v>118</v>
      </c>
      <c r="D364" s="4" t="str">
        <f t="shared" si="10"/>
        <v>DE301MajorLabor</v>
      </c>
      <c r="E364" s="7">
        <v>0.5</v>
      </c>
      <c r="F364" t="str">
        <f t="shared" si="11"/>
        <v>D</v>
      </c>
    </row>
    <row r="365" spans="1:6">
      <c r="A365" s="4" t="s">
        <v>257</v>
      </c>
      <c r="B365" s="4" t="s">
        <v>185</v>
      </c>
      <c r="C365" s="4" t="s">
        <v>118</v>
      </c>
      <c r="D365" s="4" t="str">
        <f t="shared" si="10"/>
        <v>DE301MinorLabor</v>
      </c>
      <c r="E365" s="7">
        <v>1</v>
      </c>
      <c r="F365" t="str">
        <f t="shared" si="11"/>
        <v>D</v>
      </c>
    </row>
    <row r="366" spans="1:6">
      <c r="A366" s="4" t="s">
        <v>257</v>
      </c>
      <c r="B366" s="4" t="s">
        <v>374</v>
      </c>
      <c r="C366" s="4" t="s">
        <v>118</v>
      </c>
      <c r="D366" s="4" t="str">
        <f t="shared" si="10"/>
        <v>DE301N/ALabor</v>
      </c>
      <c r="E366" s="7">
        <v>2</v>
      </c>
      <c r="F366" t="str">
        <f t="shared" si="11"/>
        <v>D</v>
      </c>
    </row>
    <row r="367" spans="1:6">
      <c r="A367" s="4" t="s">
        <v>262</v>
      </c>
      <c r="B367" s="4" t="s">
        <v>120</v>
      </c>
      <c r="C367" s="4" t="s">
        <v>118</v>
      </c>
      <c r="D367" s="4" t="str">
        <f t="shared" si="10"/>
        <v>DE401ConformanceLabor</v>
      </c>
      <c r="E367" s="7">
        <v>2</v>
      </c>
      <c r="F367" t="str">
        <f t="shared" si="11"/>
        <v>D</v>
      </c>
    </row>
    <row r="368" spans="1:6">
      <c r="A368" s="4" t="s">
        <v>262</v>
      </c>
      <c r="B368" s="4" t="s">
        <v>114</v>
      </c>
      <c r="C368" s="4" t="s">
        <v>118</v>
      </c>
      <c r="D368" s="4" t="str">
        <f t="shared" si="10"/>
        <v>DE401PriorityLabor</v>
      </c>
      <c r="E368" s="7">
        <v>0</v>
      </c>
      <c r="F368" t="str">
        <f t="shared" si="11"/>
        <v>D</v>
      </c>
    </row>
    <row r="369" spans="1:6">
      <c r="A369" s="4" t="s">
        <v>262</v>
      </c>
      <c r="B369" s="4" t="s">
        <v>112</v>
      </c>
      <c r="C369" s="4" t="s">
        <v>118</v>
      </c>
      <c r="D369" s="4" t="str">
        <f t="shared" si="10"/>
        <v>DE401MajorLabor</v>
      </c>
      <c r="E369" s="7">
        <v>0.5</v>
      </c>
      <c r="F369" t="str">
        <f t="shared" si="11"/>
        <v>D</v>
      </c>
    </row>
    <row r="370" spans="1:6">
      <c r="A370" s="4" t="s">
        <v>262</v>
      </c>
      <c r="B370" s="4" t="s">
        <v>185</v>
      </c>
      <c r="C370" s="4" t="s">
        <v>118</v>
      </c>
      <c r="D370" s="4" t="str">
        <f t="shared" si="10"/>
        <v>DE401MinorLabor</v>
      </c>
      <c r="E370" s="7">
        <v>1</v>
      </c>
      <c r="F370" t="str">
        <f t="shared" si="11"/>
        <v>D</v>
      </c>
    </row>
    <row r="371" spans="1:6">
      <c r="A371" s="4" t="s">
        <v>262</v>
      </c>
      <c r="B371" s="4" t="s">
        <v>374</v>
      </c>
      <c r="C371" s="4" t="s">
        <v>118</v>
      </c>
      <c r="D371" s="4" t="str">
        <f t="shared" si="10"/>
        <v>DE401N/ALabor</v>
      </c>
      <c r="E371" s="7">
        <v>2</v>
      </c>
      <c r="F371" t="str">
        <f t="shared" si="11"/>
        <v>D</v>
      </c>
    </row>
    <row r="372" spans="1:6">
      <c r="A372" s="4" t="s">
        <v>267</v>
      </c>
      <c r="B372" s="4" t="s">
        <v>120</v>
      </c>
      <c r="C372" s="4" t="s">
        <v>118</v>
      </c>
      <c r="D372" s="4" t="str">
        <f t="shared" si="10"/>
        <v>DE501ConformanceLabor</v>
      </c>
      <c r="E372" s="7">
        <v>2</v>
      </c>
      <c r="F372" t="str">
        <f t="shared" si="11"/>
        <v>D</v>
      </c>
    </row>
    <row r="373" spans="1:6">
      <c r="A373" s="4" t="s">
        <v>267</v>
      </c>
      <c r="B373" s="4" t="s">
        <v>114</v>
      </c>
      <c r="C373" s="4" t="s">
        <v>118</v>
      </c>
      <c r="D373" s="4" t="str">
        <f t="shared" si="10"/>
        <v>DE501PriorityLabor</v>
      </c>
      <c r="E373" s="7">
        <v>0</v>
      </c>
      <c r="F373" t="str">
        <f t="shared" si="11"/>
        <v>D</v>
      </c>
    </row>
    <row r="374" spans="1:6">
      <c r="A374" s="4" t="s">
        <v>267</v>
      </c>
      <c r="B374" s="4" t="s">
        <v>112</v>
      </c>
      <c r="C374" s="4" t="s">
        <v>118</v>
      </c>
      <c r="D374" s="4" t="str">
        <f t="shared" si="10"/>
        <v>DE501MajorLabor</v>
      </c>
      <c r="E374" s="7">
        <v>0.5</v>
      </c>
      <c r="F374" t="str">
        <f t="shared" si="11"/>
        <v>D</v>
      </c>
    </row>
    <row r="375" spans="1:6">
      <c r="A375" s="4" t="s">
        <v>267</v>
      </c>
      <c r="B375" s="4" t="s">
        <v>185</v>
      </c>
      <c r="C375" s="4" t="s">
        <v>118</v>
      </c>
      <c r="D375" s="4" t="str">
        <f t="shared" si="10"/>
        <v>DE501MinorLabor</v>
      </c>
      <c r="E375" s="7">
        <v>1</v>
      </c>
      <c r="F375" t="str">
        <f t="shared" si="11"/>
        <v>D</v>
      </c>
    </row>
    <row r="376" spans="1:6">
      <c r="A376" s="4" t="s">
        <v>267</v>
      </c>
      <c r="B376" s="4" t="s">
        <v>374</v>
      </c>
      <c r="C376" s="4" t="s">
        <v>118</v>
      </c>
      <c r="D376" s="4" t="str">
        <f t="shared" si="10"/>
        <v>DE501N/ALabor</v>
      </c>
      <c r="E376" s="7">
        <v>2</v>
      </c>
      <c r="F376" t="str">
        <f t="shared" si="11"/>
        <v>D</v>
      </c>
    </row>
    <row r="377" spans="1:6">
      <c r="A377" s="4" t="s">
        <v>272</v>
      </c>
      <c r="B377" s="4" t="s">
        <v>120</v>
      </c>
      <c r="C377" s="4" t="s">
        <v>118</v>
      </c>
      <c r="D377" s="4" t="str">
        <f t="shared" si="10"/>
        <v>DE601ConformanceLabor</v>
      </c>
      <c r="E377" s="7">
        <v>2</v>
      </c>
      <c r="F377" t="str">
        <f t="shared" si="11"/>
        <v>D</v>
      </c>
    </row>
    <row r="378" spans="1:6">
      <c r="A378" s="4" t="s">
        <v>272</v>
      </c>
      <c r="B378" s="4" t="s">
        <v>114</v>
      </c>
      <c r="C378" s="4" t="s">
        <v>118</v>
      </c>
      <c r="D378" s="4" t="str">
        <f t="shared" si="10"/>
        <v>DE601PriorityLabor</v>
      </c>
      <c r="E378" s="7">
        <v>0</v>
      </c>
      <c r="F378" t="str">
        <f t="shared" si="11"/>
        <v>D</v>
      </c>
    </row>
    <row r="379" spans="1:6">
      <c r="A379" s="4" t="s">
        <v>272</v>
      </c>
      <c r="B379" s="4" t="s">
        <v>112</v>
      </c>
      <c r="C379" s="4" t="s">
        <v>118</v>
      </c>
      <c r="D379" s="4" t="str">
        <f t="shared" si="10"/>
        <v>DE601MajorLabor</v>
      </c>
      <c r="E379" s="7">
        <v>0.5</v>
      </c>
      <c r="F379" t="str">
        <f t="shared" si="11"/>
        <v>D</v>
      </c>
    </row>
    <row r="380" spans="1:6">
      <c r="A380" s="4" t="s">
        <v>272</v>
      </c>
      <c r="B380" s="4" t="s">
        <v>185</v>
      </c>
      <c r="C380" s="4" t="s">
        <v>118</v>
      </c>
      <c r="D380" s="4" t="str">
        <f t="shared" si="10"/>
        <v>DE601MinorLabor</v>
      </c>
      <c r="E380" s="7">
        <v>1</v>
      </c>
      <c r="F380" t="str">
        <f t="shared" si="11"/>
        <v>D</v>
      </c>
    </row>
    <row r="381" spans="1:6">
      <c r="A381" s="4" t="s">
        <v>272</v>
      </c>
      <c r="B381" s="4" t="s">
        <v>374</v>
      </c>
      <c r="C381" s="4" t="s">
        <v>118</v>
      </c>
      <c r="D381" s="4" t="str">
        <f t="shared" si="10"/>
        <v>DE601N/ALabor</v>
      </c>
      <c r="E381" s="7">
        <v>2</v>
      </c>
      <c r="F381" t="str">
        <f t="shared" si="11"/>
        <v>D</v>
      </c>
    </row>
    <row r="382" spans="1:6">
      <c r="A382" s="4" t="s">
        <v>278</v>
      </c>
      <c r="B382" s="4" t="s">
        <v>120</v>
      </c>
      <c r="C382" s="4" t="s">
        <v>118</v>
      </c>
      <c r="D382" s="4" t="str">
        <f t="shared" si="10"/>
        <v>DM101ConformanceLabor</v>
      </c>
      <c r="E382" s="7">
        <v>0.5</v>
      </c>
      <c r="F382" t="str">
        <f t="shared" si="11"/>
        <v>D</v>
      </c>
    </row>
    <row r="383" spans="1:6">
      <c r="A383" s="4" t="s">
        <v>278</v>
      </c>
      <c r="B383" s="4" t="s">
        <v>114</v>
      </c>
      <c r="C383" s="4" t="s">
        <v>118</v>
      </c>
      <c r="D383" s="4" t="str">
        <f t="shared" si="10"/>
        <v>DM101PriorityLabor</v>
      </c>
      <c r="E383" s="7">
        <v>0</v>
      </c>
      <c r="F383" t="str">
        <f t="shared" si="11"/>
        <v>D</v>
      </c>
    </row>
    <row r="384" spans="1:6">
      <c r="A384" s="4" t="s">
        <v>278</v>
      </c>
      <c r="B384" s="4" t="s">
        <v>112</v>
      </c>
      <c r="C384" s="4" t="s">
        <v>118</v>
      </c>
      <c r="D384" s="4" t="str">
        <f t="shared" si="10"/>
        <v>DM101MajorLabor</v>
      </c>
      <c r="E384" s="7">
        <v>0.1</v>
      </c>
      <c r="F384" t="str">
        <f t="shared" si="11"/>
        <v>D</v>
      </c>
    </row>
    <row r="385" spans="1:6">
      <c r="A385" s="4" t="s">
        <v>278</v>
      </c>
      <c r="B385" s="4" t="s">
        <v>185</v>
      </c>
      <c r="C385" s="4" t="s">
        <v>118</v>
      </c>
      <c r="D385" s="4" t="str">
        <f t="shared" si="10"/>
        <v>DM101MinorLabor</v>
      </c>
      <c r="E385" s="7">
        <v>0.3</v>
      </c>
      <c r="F385" t="str">
        <f t="shared" si="11"/>
        <v>D</v>
      </c>
    </row>
    <row r="386" spans="1:6">
      <c r="A386" s="4" t="s">
        <v>278</v>
      </c>
      <c r="B386" s="4" t="s">
        <v>374</v>
      </c>
      <c r="C386" s="4" t="s">
        <v>118</v>
      </c>
      <c r="D386" s="4" t="str">
        <f t="shared" si="10"/>
        <v>DM101N/ALabor</v>
      </c>
      <c r="E386" s="7">
        <v>0.5</v>
      </c>
      <c r="F386" t="str">
        <f t="shared" si="11"/>
        <v>D</v>
      </c>
    </row>
    <row r="387" spans="1:6">
      <c r="A387" s="4" t="s">
        <v>281</v>
      </c>
      <c r="B387" s="4" t="s">
        <v>120</v>
      </c>
      <c r="C387" s="4" t="s">
        <v>118</v>
      </c>
      <c r="D387" s="4" t="str">
        <f t="shared" ref="D387:D450" si="12">A387&amp;B387&amp;C387</f>
        <v>DM102ConformanceLabor</v>
      </c>
      <c r="E387" s="7">
        <v>0.5</v>
      </c>
      <c r="F387" t="str">
        <f t="shared" ref="F387:F450" si="13">+MID(A387,1,1)</f>
        <v>D</v>
      </c>
    </row>
    <row r="388" spans="1:6">
      <c r="A388" s="4" t="s">
        <v>281</v>
      </c>
      <c r="B388" s="4" t="s">
        <v>114</v>
      </c>
      <c r="C388" s="4" t="s">
        <v>118</v>
      </c>
      <c r="D388" s="4" t="str">
        <f t="shared" si="12"/>
        <v>DM102PriorityLabor</v>
      </c>
      <c r="E388" s="7">
        <v>0</v>
      </c>
      <c r="F388" t="str">
        <f t="shared" si="13"/>
        <v>D</v>
      </c>
    </row>
    <row r="389" spans="1:6">
      <c r="A389" s="4" t="s">
        <v>281</v>
      </c>
      <c r="B389" s="4" t="s">
        <v>112</v>
      </c>
      <c r="C389" s="4" t="s">
        <v>118</v>
      </c>
      <c r="D389" s="4" t="str">
        <f t="shared" si="12"/>
        <v>DM102MajorLabor</v>
      </c>
      <c r="E389" s="7">
        <v>0.1</v>
      </c>
      <c r="F389" t="str">
        <f t="shared" si="13"/>
        <v>D</v>
      </c>
    </row>
    <row r="390" spans="1:6">
      <c r="A390" s="4" t="s">
        <v>281</v>
      </c>
      <c r="B390" s="4" t="s">
        <v>185</v>
      </c>
      <c r="C390" s="4" t="s">
        <v>118</v>
      </c>
      <c r="D390" s="4" t="str">
        <f t="shared" si="12"/>
        <v>DM102MinorLabor</v>
      </c>
      <c r="E390" s="7">
        <v>0.3</v>
      </c>
      <c r="F390" t="str">
        <f t="shared" si="13"/>
        <v>D</v>
      </c>
    </row>
    <row r="391" spans="1:6">
      <c r="A391" s="4" t="s">
        <v>281</v>
      </c>
      <c r="B391" s="4" t="s">
        <v>374</v>
      </c>
      <c r="C391" s="4" t="s">
        <v>118</v>
      </c>
      <c r="D391" s="4" t="str">
        <f t="shared" si="12"/>
        <v>DM102N/ALabor</v>
      </c>
      <c r="E391" s="7">
        <v>0.5</v>
      </c>
      <c r="F391" t="str">
        <f t="shared" si="13"/>
        <v>D</v>
      </c>
    </row>
    <row r="392" spans="1:6">
      <c r="A392" s="4" t="s">
        <v>285</v>
      </c>
      <c r="B392" s="4" t="s">
        <v>120</v>
      </c>
      <c r="C392" s="4" t="s">
        <v>118</v>
      </c>
      <c r="D392" s="4" t="str">
        <f t="shared" si="12"/>
        <v>DM201ConformanceLabor</v>
      </c>
      <c r="E392" s="7">
        <v>0.5</v>
      </c>
      <c r="F392" t="str">
        <f t="shared" si="13"/>
        <v>D</v>
      </c>
    </row>
    <row r="393" spans="1:6">
      <c r="A393" s="4" t="s">
        <v>285</v>
      </c>
      <c r="B393" s="4" t="s">
        <v>114</v>
      </c>
      <c r="C393" s="4" t="s">
        <v>118</v>
      </c>
      <c r="D393" s="4" t="str">
        <f t="shared" si="12"/>
        <v>DM201PriorityLabor</v>
      </c>
      <c r="E393" s="7">
        <v>0</v>
      </c>
      <c r="F393" t="str">
        <f t="shared" si="13"/>
        <v>D</v>
      </c>
    </row>
    <row r="394" spans="1:6">
      <c r="A394" s="4" t="s">
        <v>285</v>
      </c>
      <c r="B394" s="4" t="s">
        <v>112</v>
      </c>
      <c r="C394" s="4" t="s">
        <v>118</v>
      </c>
      <c r="D394" s="4" t="str">
        <f t="shared" si="12"/>
        <v>DM201MajorLabor</v>
      </c>
      <c r="E394" s="7">
        <v>0.1</v>
      </c>
      <c r="F394" t="str">
        <f t="shared" si="13"/>
        <v>D</v>
      </c>
    </row>
    <row r="395" spans="1:6">
      <c r="A395" s="4" t="s">
        <v>285</v>
      </c>
      <c r="B395" s="4" t="s">
        <v>185</v>
      </c>
      <c r="C395" s="4" t="s">
        <v>118</v>
      </c>
      <c r="D395" s="4" t="str">
        <f t="shared" si="12"/>
        <v>DM201MinorLabor</v>
      </c>
      <c r="E395" s="7">
        <v>0.3</v>
      </c>
      <c r="F395" t="str">
        <f t="shared" si="13"/>
        <v>D</v>
      </c>
    </row>
    <row r="396" spans="1:6">
      <c r="A396" s="4" t="s">
        <v>285</v>
      </c>
      <c r="B396" s="4" t="s">
        <v>374</v>
      </c>
      <c r="C396" s="4" t="s">
        <v>118</v>
      </c>
      <c r="D396" s="4" t="str">
        <f t="shared" si="12"/>
        <v>DM201N/ALabor</v>
      </c>
      <c r="E396" s="7">
        <v>0.5</v>
      </c>
      <c r="F396" t="str">
        <f t="shared" si="13"/>
        <v>D</v>
      </c>
    </row>
    <row r="397" spans="1:6">
      <c r="A397" s="4" t="s">
        <v>287</v>
      </c>
      <c r="B397" s="4" t="s">
        <v>120</v>
      </c>
      <c r="C397" s="4" t="s">
        <v>118</v>
      </c>
      <c r="D397" s="4" t="str">
        <f t="shared" si="12"/>
        <v>DM202ConformanceLabor</v>
      </c>
      <c r="E397" s="7">
        <v>0.5</v>
      </c>
      <c r="F397" t="str">
        <f t="shared" si="13"/>
        <v>D</v>
      </c>
    </row>
    <row r="398" spans="1:6">
      <c r="A398" s="4" t="s">
        <v>287</v>
      </c>
      <c r="B398" s="4" t="s">
        <v>114</v>
      </c>
      <c r="C398" s="4" t="s">
        <v>118</v>
      </c>
      <c r="D398" s="4" t="str">
        <f t="shared" si="12"/>
        <v>DM202PriorityLabor</v>
      </c>
      <c r="E398" s="7">
        <v>0</v>
      </c>
      <c r="F398" t="str">
        <f t="shared" si="13"/>
        <v>D</v>
      </c>
    </row>
    <row r="399" spans="1:6">
      <c r="A399" s="4" t="s">
        <v>287</v>
      </c>
      <c r="B399" s="4" t="s">
        <v>112</v>
      </c>
      <c r="C399" s="4" t="s">
        <v>118</v>
      </c>
      <c r="D399" s="4" t="str">
        <f t="shared" si="12"/>
        <v>DM202MajorLabor</v>
      </c>
      <c r="E399" s="7">
        <v>0.1</v>
      </c>
      <c r="F399" t="str">
        <f t="shared" si="13"/>
        <v>D</v>
      </c>
    </row>
    <row r="400" spans="1:6">
      <c r="A400" s="4" t="s">
        <v>287</v>
      </c>
      <c r="B400" s="4" t="s">
        <v>185</v>
      </c>
      <c r="C400" s="4" t="s">
        <v>118</v>
      </c>
      <c r="D400" s="4" t="str">
        <f t="shared" si="12"/>
        <v>DM202MinorLabor</v>
      </c>
      <c r="E400" s="7">
        <v>0.3</v>
      </c>
      <c r="F400" t="str">
        <f t="shared" si="13"/>
        <v>D</v>
      </c>
    </row>
    <row r="401" spans="1:6">
      <c r="A401" s="4" t="s">
        <v>287</v>
      </c>
      <c r="B401" s="4" t="s">
        <v>374</v>
      </c>
      <c r="C401" s="4" t="s">
        <v>118</v>
      </c>
      <c r="D401" s="4" t="str">
        <f t="shared" si="12"/>
        <v>DM202N/ALabor</v>
      </c>
      <c r="E401" s="7">
        <v>0.5</v>
      </c>
      <c r="F401" t="str">
        <f t="shared" si="13"/>
        <v>D</v>
      </c>
    </row>
    <row r="402" spans="1:6">
      <c r="A402" s="4" t="s">
        <v>290</v>
      </c>
      <c r="B402" s="4" t="s">
        <v>120</v>
      </c>
      <c r="C402" s="4" t="s">
        <v>118</v>
      </c>
      <c r="D402" s="4" t="str">
        <f t="shared" si="12"/>
        <v>DM203ConformanceLabor</v>
      </c>
      <c r="E402" s="7">
        <v>0.5</v>
      </c>
      <c r="F402" t="str">
        <f t="shared" si="13"/>
        <v>D</v>
      </c>
    </row>
    <row r="403" spans="1:6">
      <c r="A403" s="4" t="s">
        <v>290</v>
      </c>
      <c r="B403" s="4" t="s">
        <v>114</v>
      </c>
      <c r="C403" s="4" t="s">
        <v>118</v>
      </c>
      <c r="D403" s="4" t="str">
        <f t="shared" si="12"/>
        <v>DM203PriorityLabor</v>
      </c>
      <c r="E403" s="7">
        <v>0</v>
      </c>
      <c r="F403" t="str">
        <f t="shared" si="13"/>
        <v>D</v>
      </c>
    </row>
    <row r="404" spans="1:6">
      <c r="A404" s="4" t="s">
        <v>290</v>
      </c>
      <c r="B404" s="4" t="s">
        <v>112</v>
      </c>
      <c r="C404" s="4" t="s">
        <v>118</v>
      </c>
      <c r="D404" s="4" t="str">
        <f t="shared" si="12"/>
        <v>DM203MajorLabor</v>
      </c>
      <c r="E404" s="7">
        <v>0.1</v>
      </c>
      <c r="F404" t="str">
        <f t="shared" si="13"/>
        <v>D</v>
      </c>
    </row>
    <row r="405" spans="1:6">
      <c r="A405" s="4" t="s">
        <v>290</v>
      </c>
      <c r="B405" s="4" t="s">
        <v>185</v>
      </c>
      <c r="C405" s="4" t="s">
        <v>118</v>
      </c>
      <c r="D405" s="4" t="str">
        <f t="shared" si="12"/>
        <v>DM203MinorLabor</v>
      </c>
      <c r="E405" s="7">
        <v>0.3</v>
      </c>
      <c r="F405" t="str">
        <f t="shared" si="13"/>
        <v>D</v>
      </c>
    </row>
    <row r="406" spans="1:6">
      <c r="A406" s="4" t="s">
        <v>290</v>
      </c>
      <c r="B406" s="4" t="s">
        <v>374</v>
      </c>
      <c r="C406" s="4" t="s">
        <v>118</v>
      </c>
      <c r="D406" s="4" t="str">
        <f t="shared" si="12"/>
        <v>DM203N/ALabor</v>
      </c>
      <c r="E406" s="7">
        <v>0.5</v>
      </c>
      <c r="F406" t="str">
        <f t="shared" si="13"/>
        <v>D</v>
      </c>
    </row>
    <row r="407" spans="1:6">
      <c r="A407" s="4" t="s">
        <v>293</v>
      </c>
      <c r="B407" s="4" t="s">
        <v>120</v>
      </c>
      <c r="C407" s="4" t="s">
        <v>118</v>
      </c>
      <c r="D407" s="4" t="str">
        <f t="shared" si="12"/>
        <v>DM301ConformanceLabor</v>
      </c>
      <c r="E407" s="7">
        <v>0.5</v>
      </c>
      <c r="F407" t="str">
        <f t="shared" si="13"/>
        <v>D</v>
      </c>
    </row>
    <row r="408" spans="1:6">
      <c r="A408" s="4" t="s">
        <v>293</v>
      </c>
      <c r="B408" s="4" t="s">
        <v>114</v>
      </c>
      <c r="C408" s="4" t="s">
        <v>118</v>
      </c>
      <c r="D408" s="4" t="str">
        <f t="shared" si="12"/>
        <v>DM301PriorityLabor</v>
      </c>
      <c r="E408" s="7">
        <v>0</v>
      </c>
      <c r="F408" t="str">
        <f t="shared" si="13"/>
        <v>D</v>
      </c>
    </row>
    <row r="409" spans="1:6">
      <c r="A409" s="4" t="s">
        <v>293</v>
      </c>
      <c r="B409" s="4" t="s">
        <v>112</v>
      </c>
      <c r="C409" s="4" t="s">
        <v>118</v>
      </c>
      <c r="D409" s="4" t="str">
        <f t="shared" si="12"/>
        <v>DM301MajorLabor</v>
      </c>
      <c r="E409" s="7">
        <v>0.1</v>
      </c>
      <c r="F409" t="str">
        <f t="shared" si="13"/>
        <v>D</v>
      </c>
    </row>
    <row r="410" spans="1:6">
      <c r="A410" s="4" t="s">
        <v>293</v>
      </c>
      <c r="B410" s="4" t="s">
        <v>185</v>
      </c>
      <c r="C410" s="4" t="s">
        <v>118</v>
      </c>
      <c r="D410" s="4" t="str">
        <f t="shared" si="12"/>
        <v>DM301MinorLabor</v>
      </c>
      <c r="E410" s="7">
        <v>0.3</v>
      </c>
      <c r="F410" t="str">
        <f t="shared" si="13"/>
        <v>D</v>
      </c>
    </row>
    <row r="411" spans="1:6">
      <c r="A411" s="4" t="s">
        <v>293</v>
      </c>
      <c r="B411" s="4" t="s">
        <v>374</v>
      </c>
      <c r="C411" s="4" t="s">
        <v>118</v>
      </c>
      <c r="D411" s="4" t="str">
        <f t="shared" si="12"/>
        <v>DM301N/ALabor</v>
      </c>
      <c r="E411" s="7">
        <v>0.5</v>
      </c>
      <c r="F411" t="str">
        <f t="shared" si="13"/>
        <v>D</v>
      </c>
    </row>
    <row r="412" spans="1:6">
      <c r="A412" s="4" t="s">
        <v>295</v>
      </c>
      <c r="B412" s="4" t="s">
        <v>120</v>
      </c>
      <c r="C412" s="4" t="s">
        <v>118</v>
      </c>
      <c r="D412" s="4" t="str">
        <f t="shared" si="12"/>
        <v>DM302ConformanceLabor</v>
      </c>
      <c r="E412" s="7">
        <v>0.5</v>
      </c>
      <c r="F412" t="str">
        <f t="shared" si="13"/>
        <v>D</v>
      </c>
    </row>
    <row r="413" spans="1:6">
      <c r="A413" s="4" t="s">
        <v>295</v>
      </c>
      <c r="B413" s="4" t="s">
        <v>114</v>
      </c>
      <c r="C413" s="4" t="s">
        <v>118</v>
      </c>
      <c r="D413" s="4" t="str">
        <f t="shared" si="12"/>
        <v>DM302PriorityLabor</v>
      </c>
      <c r="E413" s="7">
        <v>0</v>
      </c>
      <c r="F413" t="str">
        <f t="shared" si="13"/>
        <v>D</v>
      </c>
    </row>
    <row r="414" spans="1:6">
      <c r="A414" s="4" t="s">
        <v>295</v>
      </c>
      <c r="B414" s="4" t="s">
        <v>112</v>
      </c>
      <c r="C414" s="4" t="s">
        <v>118</v>
      </c>
      <c r="D414" s="4" t="str">
        <f t="shared" si="12"/>
        <v>DM302MajorLabor</v>
      </c>
      <c r="E414" s="7">
        <v>0.1</v>
      </c>
      <c r="F414" t="str">
        <f t="shared" si="13"/>
        <v>D</v>
      </c>
    </row>
    <row r="415" spans="1:6">
      <c r="A415" s="4" t="s">
        <v>295</v>
      </c>
      <c r="B415" s="4" t="s">
        <v>185</v>
      </c>
      <c r="C415" s="4" t="s">
        <v>118</v>
      </c>
      <c r="D415" s="4" t="str">
        <f t="shared" si="12"/>
        <v>DM302MinorLabor</v>
      </c>
      <c r="E415" s="7">
        <v>0.3</v>
      </c>
      <c r="F415" t="str">
        <f t="shared" si="13"/>
        <v>D</v>
      </c>
    </row>
    <row r="416" spans="1:6">
      <c r="A416" s="4" t="s">
        <v>295</v>
      </c>
      <c r="B416" s="4" t="s">
        <v>374</v>
      </c>
      <c r="C416" s="4" t="s">
        <v>118</v>
      </c>
      <c r="D416" s="4" t="str">
        <f t="shared" si="12"/>
        <v>DM302N/ALabor</v>
      </c>
      <c r="E416" s="7">
        <v>0.5</v>
      </c>
      <c r="F416" t="str">
        <f t="shared" si="13"/>
        <v>D</v>
      </c>
    </row>
    <row r="417" spans="1:6">
      <c r="A417" s="4" t="s">
        <v>299</v>
      </c>
      <c r="B417" s="4" t="s">
        <v>120</v>
      </c>
      <c r="C417" s="4" t="s">
        <v>118</v>
      </c>
      <c r="D417" s="4" t="str">
        <f t="shared" si="12"/>
        <v>DM401ConformanceLabor</v>
      </c>
      <c r="E417" s="7">
        <v>0.5</v>
      </c>
      <c r="F417" t="str">
        <f t="shared" si="13"/>
        <v>D</v>
      </c>
    </row>
    <row r="418" spans="1:6">
      <c r="A418" s="4" t="s">
        <v>299</v>
      </c>
      <c r="B418" s="4" t="s">
        <v>114</v>
      </c>
      <c r="C418" s="4" t="s">
        <v>118</v>
      </c>
      <c r="D418" s="4" t="str">
        <f t="shared" si="12"/>
        <v>DM401PriorityLabor</v>
      </c>
      <c r="E418" s="7">
        <v>0</v>
      </c>
      <c r="F418" t="str">
        <f t="shared" si="13"/>
        <v>D</v>
      </c>
    </row>
    <row r="419" spans="1:6">
      <c r="A419" s="4" t="s">
        <v>299</v>
      </c>
      <c r="B419" s="4" t="s">
        <v>112</v>
      </c>
      <c r="C419" s="4" t="s">
        <v>118</v>
      </c>
      <c r="D419" s="4" t="str">
        <f t="shared" si="12"/>
        <v>DM401MajorLabor</v>
      </c>
      <c r="E419" s="7">
        <v>0.1</v>
      </c>
      <c r="F419" t="str">
        <f t="shared" si="13"/>
        <v>D</v>
      </c>
    </row>
    <row r="420" spans="1:6">
      <c r="A420" s="4" t="s">
        <v>299</v>
      </c>
      <c r="B420" s="4" t="s">
        <v>185</v>
      </c>
      <c r="C420" s="4" t="s">
        <v>118</v>
      </c>
      <c r="D420" s="4" t="str">
        <f t="shared" si="12"/>
        <v>DM401MinorLabor</v>
      </c>
      <c r="E420" s="7">
        <v>0.3</v>
      </c>
      <c r="F420" t="str">
        <f t="shared" si="13"/>
        <v>D</v>
      </c>
    </row>
    <row r="421" spans="1:6">
      <c r="A421" s="4" t="s">
        <v>299</v>
      </c>
      <c r="B421" s="4" t="s">
        <v>374</v>
      </c>
      <c r="C421" s="4" t="s">
        <v>118</v>
      </c>
      <c r="D421" s="4" t="str">
        <f t="shared" si="12"/>
        <v>DM401N/ALabor</v>
      </c>
      <c r="E421" s="7">
        <v>0.5</v>
      </c>
      <c r="F421" t="str">
        <f t="shared" si="13"/>
        <v>D</v>
      </c>
    </row>
    <row r="422" spans="1:6">
      <c r="A422" s="4" t="s">
        <v>301</v>
      </c>
      <c r="B422" s="4" t="s">
        <v>120</v>
      </c>
      <c r="C422" s="4" t="s">
        <v>118</v>
      </c>
      <c r="D422" s="4" t="str">
        <f t="shared" si="12"/>
        <v>DM402ConformanceLabor</v>
      </c>
      <c r="E422" s="7">
        <v>0.5</v>
      </c>
      <c r="F422" t="str">
        <f t="shared" si="13"/>
        <v>D</v>
      </c>
    </row>
    <row r="423" spans="1:6">
      <c r="A423" s="4" t="s">
        <v>301</v>
      </c>
      <c r="B423" s="4" t="s">
        <v>114</v>
      </c>
      <c r="C423" s="4" t="s">
        <v>118</v>
      </c>
      <c r="D423" s="4" t="str">
        <f t="shared" si="12"/>
        <v>DM402PriorityLabor</v>
      </c>
      <c r="E423" s="7">
        <v>0</v>
      </c>
      <c r="F423" t="str">
        <f t="shared" si="13"/>
        <v>D</v>
      </c>
    </row>
    <row r="424" spans="1:6">
      <c r="A424" s="4" t="s">
        <v>301</v>
      </c>
      <c r="B424" s="4" t="s">
        <v>112</v>
      </c>
      <c r="C424" s="4" t="s">
        <v>118</v>
      </c>
      <c r="D424" s="4" t="str">
        <f t="shared" si="12"/>
        <v>DM402MajorLabor</v>
      </c>
      <c r="E424" s="7">
        <v>0.1</v>
      </c>
      <c r="F424" t="str">
        <f t="shared" si="13"/>
        <v>D</v>
      </c>
    </row>
    <row r="425" spans="1:6">
      <c r="A425" s="4" t="s">
        <v>301</v>
      </c>
      <c r="B425" s="4" t="s">
        <v>185</v>
      </c>
      <c r="C425" s="4" t="s">
        <v>118</v>
      </c>
      <c r="D425" s="4" t="str">
        <f t="shared" si="12"/>
        <v>DM402MinorLabor</v>
      </c>
      <c r="E425" s="7">
        <v>0.3</v>
      </c>
      <c r="F425" t="str">
        <f t="shared" si="13"/>
        <v>D</v>
      </c>
    </row>
    <row r="426" spans="1:6">
      <c r="A426" s="4" t="s">
        <v>301</v>
      </c>
      <c r="B426" s="4" t="s">
        <v>374</v>
      </c>
      <c r="C426" s="4" t="s">
        <v>118</v>
      </c>
      <c r="D426" s="4" t="str">
        <f t="shared" si="12"/>
        <v>DM402N/ALabor</v>
      </c>
      <c r="E426" s="7">
        <v>0.5</v>
      </c>
      <c r="F426" t="str">
        <f t="shared" si="13"/>
        <v>D</v>
      </c>
    </row>
    <row r="427" spans="1:6">
      <c r="A427" s="4" t="s">
        <v>304</v>
      </c>
      <c r="B427" s="4" t="s">
        <v>120</v>
      </c>
      <c r="C427" s="4" t="s">
        <v>118</v>
      </c>
      <c r="D427" s="4" t="str">
        <f t="shared" si="12"/>
        <v>DM403ConformanceLabor</v>
      </c>
      <c r="E427" s="7">
        <v>0.5</v>
      </c>
      <c r="F427" t="str">
        <f t="shared" si="13"/>
        <v>D</v>
      </c>
    </row>
    <row r="428" spans="1:6">
      <c r="A428" s="4" t="s">
        <v>304</v>
      </c>
      <c r="B428" s="4" t="s">
        <v>114</v>
      </c>
      <c r="C428" s="4" t="s">
        <v>118</v>
      </c>
      <c r="D428" s="4" t="str">
        <f t="shared" si="12"/>
        <v>DM403PriorityLabor</v>
      </c>
      <c r="E428" s="7">
        <v>0</v>
      </c>
      <c r="F428" t="str">
        <f t="shared" si="13"/>
        <v>D</v>
      </c>
    </row>
    <row r="429" spans="1:6">
      <c r="A429" s="4" t="s">
        <v>304</v>
      </c>
      <c r="B429" s="4" t="s">
        <v>112</v>
      </c>
      <c r="C429" s="4" t="s">
        <v>118</v>
      </c>
      <c r="D429" s="4" t="str">
        <f t="shared" si="12"/>
        <v>DM403MajorLabor</v>
      </c>
      <c r="E429" s="7">
        <v>0.1</v>
      </c>
      <c r="F429" t="str">
        <f t="shared" si="13"/>
        <v>D</v>
      </c>
    </row>
    <row r="430" spans="1:6">
      <c r="A430" s="4" t="s">
        <v>304</v>
      </c>
      <c r="B430" s="4" t="s">
        <v>185</v>
      </c>
      <c r="C430" s="4" t="s">
        <v>118</v>
      </c>
      <c r="D430" s="4" t="str">
        <f t="shared" si="12"/>
        <v>DM403MinorLabor</v>
      </c>
      <c r="E430" s="7">
        <v>0.3</v>
      </c>
      <c r="F430" t="str">
        <f t="shared" si="13"/>
        <v>D</v>
      </c>
    </row>
    <row r="431" spans="1:6">
      <c r="A431" s="4" t="s">
        <v>304</v>
      </c>
      <c r="B431" s="4" t="s">
        <v>374</v>
      </c>
      <c r="C431" s="4" t="s">
        <v>118</v>
      </c>
      <c r="D431" s="4" t="str">
        <f t="shared" si="12"/>
        <v>DM403N/ALabor</v>
      </c>
      <c r="E431" s="7">
        <v>0.5</v>
      </c>
      <c r="F431" t="str">
        <f t="shared" si="13"/>
        <v>D</v>
      </c>
    </row>
    <row r="432" spans="1:6">
      <c r="A432" s="4" t="s">
        <v>308</v>
      </c>
      <c r="B432" s="4" t="s">
        <v>120</v>
      </c>
      <c r="C432" s="4" t="s">
        <v>118</v>
      </c>
      <c r="D432" s="4" t="str">
        <f t="shared" si="12"/>
        <v>ES101ConformanceLabor</v>
      </c>
      <c r="E432" s="7">
        <v>1</v>
      </c>
      <c r="F432" t="str">
        <f t="shared" si="13"/>
        <v>E</v>
      </c>
    </row>
    <row r="433" spans="1:6">
      <c r="A433" s="4" t="s">
        <v>308</v>
      </c>
      <c r="B433" s="4" t="s">
        <v>114</v>
      </c>
      <c r="C433" s="4" t="s">
        <v>118</v>
      </c>
      <c r="D433" s="4" t="str">
        <f t="shared" si="12"/>
        <v>ES101PriorityLabor</v>
      </c>
      <c r="E433" s="7">
        <v>0</v>
      </c>
      <c r="F433" t="str">
        <f t="shared" si="13"/>
        <v>E</v>
      </c>
    </row>
    <row r="434" spans="1:6">
      <c r="A434" s="4" t="s">
        <v>308</v>
      </c>
      <c r="B434" s="4" t="s">
        <v>112</v>
      </c>
      <c r="C434" s="4" t="s">
        <v>118</v>
      </c>
      <c r="D434" s="4" t="str">
        <f t="shared" si="12"/>
        <v>ES101MajorLabor</v>
      </c>
      <c r="E434" s="7">
        <v>0.2</v>
      </c>
      <c r="F434" t="str">
        <f t="shared" si="13"/>
        <v>E</v>
      </c>
    </row>
    <row r="435" spans="1:6">
      <c r="A435" s="4" t="s">
        <v>308</v>
      </c>
      <c r="B435" s="4" t="s">
        <v>185</v>
      </c>
      <c r="C435" s="4" t="s">
        <v>118</v>
      </c>
      <c r="D435" s="4" t="str">
        <f t="shared" si="12"/>
        <v>ES101MinorLabor</v>
      </c>
      <c r="E435" s="7">
        <v>0.5</v>
      </c>
      <c r="F435" t="str">
        <f t="shared" si="13"/>
        <v>E</v>
      </c>
    </row>
    <row r="436" spans="1:6">
      <c r="A436" s="4" t="s">
        <v>308</v>
      </c>
      <c r="B436" s="4" t="s">
        <v>374</v>
      </c>
      <c r="C436" s="4" t="s">
        <v>118</v>
      </c>
      <c r="D436" s="4" t="str">
        <f t="shared" si="12"/>
        <v>ES101N/ALabor</v>
      </c>
      <c r="E436" s="7">
        <v>1</v>
      </c>
      <c r="F436" t="str">
        <f t="shared" si="13"/>
        <v>E</v>
      </c>
    </row>
    <row r="437" spans="1:6">
      <c r="A437" s="4" t="s">
        <v>313</v>
      </c>
      <c r="B437" s="4" t="s">
        <v>120</v>
      </c>
      <c r="C437" s="4" t="s">
        <v>118</v>
      </c>
      <c r="D437" s="4" t="str">
        <f t="shared" si="12"/>
        <v>ES201ConformanceLabor</v>
      </c>
      <c r="E437" s="7">
        <v>1</v>
      </c>
      <c r="F437" t="str">
        <f t="shared" si="13"/>
        <v>E</v>
      </c>
    </row>
    <row r="438" spans="1:6">
      <c r="A438" s="4" t="s">
        <v>313</v>
      </c>
      <c r="B438" s="4" t="s">
        <v>114</v>
      </c>
      <c r="C438" s="4" t="s">
        <v>118</v>
      </c>
      <c r="D438" s="4" t="str">
        <f t="shared" si="12"/>
        <v>ES201PriorityLabor</v>
      </c>
      <c r="E438" s="7">
        <v>0</v>
      </c>
      <c r="F438" t="str">
        <f t="shared" si="13"/>
        <v>E</v>
      </c>
    </row>
    <row r="439" spans="1:6">
      <c r="A439" s="4" t="s">
        <v>313</v>
      </c>
      <c r="B439" s="4" t="s">
        <v>112</v>
      </c>
      <c r="C439" s="4" t="s">
        <v>118</v>
      </c>
      <c r="D439" s="4" t="str">
        <f t="shared" si="12"/>
        <v>ES201MajorLabor</v>
      </c>
      <c r="E439" s="7">
        <v>0.2</v>
      </c>
      <c r="F439" t="str">
        <f t="shared" si="13"/>
        <v>E</v>
      </c>
    </row>
    <row r="440" spans="1:6">
      <c r="A440" s="4" t="s">
        <v>313</v>
      </c>
      <c r="B440" s="4" t="s">
        <v>185</v>
      </c>
      <c r="C440" s="4" t="s">
        <v>118</v>
      </c>
      <c r="D440" s="4" t="str">
        <f t="shared" si="12"/>
        <v>ES201MinorLabor</v>
      </c>
      <c r="E440" s="7">
        <v>0.5</v>
      </c>
      <c r="F440" t="str">
        <f t="shared" si="13"/>
        <v>E</v>
      </c>
    </row>
    <row r="441" spans="1:6">
      <c r="A441" s="4" t="s">
        <v>313</v>
      </c>
      <c r="B441" s="4" t="s">
        <v>374</v>
      </c>
      <c r="C441" s="4" t="s">
        <v>118</v>
      </c>
      <c r="D441" s="4" t="str">
        <f t="shared" si="12"/>
        <v>ES201N/ALabor</v>
      </c>
      <c r="E441" s="7">
        <v>1</v>
      </c>
      <c r="F441" t="str">
        <f t="shared" si="13"/>
        <v>E</v>
      </c>
    </row>
    <row r="442" spans="1:6">
      <c r="A442" s="4" t="s">
        <v>318</v>
      </c>
      <c r="B442" s="4" t="s">
        <v>120</v>
      </c>
      <c r="C442" s="4" t="s">
        <v>118</v>
      </c>
      <c r="D442" s="4" t="str">
        <f t="shared" si="12"/>
        <v>ES301ConformanceLabor</v>
      </c>
      <c r="E442" s="7">
        <v>1</v>
      </c>
      <c r="F442" t="str">
        <f t="shared" si="13"/>
        <v>E</v>
      </c>
    </row>
    <row r="443" spans="1:6">
      <c r="A443" s="4" t="s">
        <v>318</v>
      </c>
      <c r="B443" s="4" t="s">
        <v>114</v>
      </c>
      <c r="C443" s="4" t="s">
        <v>118</v>
      </c>
      <c r="D443" s="4" t="str">
        <f t="shared" si="12"/>
        <v>ES301PriorityLabor</v>
      </c>
      <c r="E443" s="7">
        <v>0</v>
      </c>
      <c r="F443" t="str">
        <f t="shared" si="13"/>
        <v>E</v>
      </c>
    </row>
    <row r="444" spans="1:6">
      <c r="A444" s="4" t="s">
        <v>318</v>
      </c>
      <c r="B444" s="4" t="s">
        <v>112</v>
      </c>
      <c r="C444" s="4" t="s">
        <v>118</v>
      </c>
      <c r="D444" s="4" t="str">
        <f t="shared" si="12"/>
        <v>ES301MajorLabor</v>
      </c>
      <c r="E444" s="7">
        <v>0.2</v>
      </c>
      <c r="F444" t="str">
        <f t="shared" si="13"/>
        <v>E</v>
      </c>
    </row>
    <row r="445" spans="1:6">
      <c r="A445" s="4" t="s">
        <v>318</v>
      </c>
      <c r="B445" s="4" t="s">
        <v>185</v>
      </c>
      <c r="C445" s="4" t="s">
        <v>118</v>
      </c>
      <c r="D445" s="4" t="str">
        <f t="shared" si="12"/>
        <v>ES301MinorLabor</v>
      </c>
      <c r="E445" s="7">
        <v>0.5</v>
      </c>
      <c r="F445" t="str">
        <f t="shared" si="13"/>
        <v>E</v>
      </c>
    </row>
    <row r="446" spans="1:6">
      <c r="A446" s="4" t="s">
        <v>318</v>
      </c>
      <c r="B446" s="4" t="s">
        <v>374</v>
      </c>
      <c r="C446" s="4" t="s">
        <v>118</v>
      </c>
      <c r="D446" s="4" t="str">
        <f t="shared" si="12"/>
        <v>ES301N/ALabor</v>
      </c>
      <c r="E446" s="7">
        <v>1</v>
      </c>
      <c r="F446" t="str">
        <f t="shared" si="13"/>
        <v>E</v>
      </c>
    </row>
    <row r="447" spans="1:6">
      <c r="A447" s="4" t="s">
        <v>323</v>
      </c>
      <c r="B447" s="4" t="s">
        <v>120</v>
      </c>
      <c r="C447" s="4" t="s">
        <v>118</v>
      </c>
      <c r="D447" s="4" t="str">
        <f t="shared" si="12"/>
        <v>ES401ConformanceLabor</v>
      </c>
      <c r="E447" s="7">
        <v>2</v>
      </c>
      <c r="F447" t="str">
        <f t="shared" si="13"/>
        <v>E</v>
      </c>
    </row>
    <row r="448" spans="1:6">
      <c r="A448" s="4" t="s">
        <v>323</v>
      </c>
      <c r="B448" s="4" t="s">
        <v>114</v>
      </c>
      <c r="C448" s="4" t="s">
        <v>118</v>
      </c>
      <c r="D448" s="4" t="str">
        <f t="shared" si="12"/>
        <v>ES401PriorityLabor</v>
      </c>
      <c r="E448" s="7">
        <v>0</v>
      </c>
      <c r="F448" t="str">
        <f t="shared" si="13"/>
        <v>E</v>
      </c>
    </row>
    <row r="449" spans="1:6">
      <c r="A449" s="4" t="s">
        <v>323</v>
      </c>
      <c r="B449" s="4" t="s">
        <v>112</v>
      </c>
      <c r="C449" s="4" t="s">
        <v>118</v>
      </c>
      <c r="D449" s="4" t="str">
        <f t="shared" si="12"/>
        <v>ES401MajorLabor</v>
      </c>
      <c r="E449" s="7">
        <v>0.5</v>
      </c>
      <c r="F449" t="str">
        <f t="shared" si="13"/>
        <v>E</v>
      </c>
    </row>
    <row r="450" spans="1:6">
      <c r="A450" s="4" t="s">
        <v>323</v>
      </c>
      <c r="B450" s="4" t="s">
        <v>185</v>
      </c>
      <c r="C450" s="4" t="s">
        <v>118</v>
      </c>
      <c r="D450" s="4" t="str">
        <f t="shared" si="12"/>
        <v>ES401MinorLabor</v>
      </c>
      <c r="E450" s="7">
        <v>1</v>
      </c>
      <c r="F450" t="str">
        <f t="shared" si="13"/>
        <v>E</v>
      </c>
    </row>
    <row r="451" spans="1:6">
      <c r="A451" s="4" t="s">
        <v>323</v>
      </c>
      <c r="B451" s="4" t="s">
        <v>374</v>
      </c>
      <c r="C451" s="4" t="s">
        <v>118</v>
      </c>
      <c r="D451" s="4" t="str">
        <f t="shared" ref="D451:D466" si="14">A451&amp;B451&amp;C451</f>
        <v>ES401N/ALabor</v>
      </c>
      <c r="E451" s="7">
        <v>2</v>
      </c>
      <c r="F451" t="str">
        <f t="shared" ref="F451:F466" si="15">+MID(A451,1,1)</f>
        <v>E</v>
      </c>
    </row>
    <row r="452" spans="1:6">
      <c r="A452" s="4" t="s">
        <v>327</v>
      </c>
      <c r="B452" s="4" t="s">
        <v>120</v>
      </c>
      <c r="C452" s="4" t="s">
        <v>118</v>
      </c>
      <c r="D452" s="4" t="str">
        <f t="shared" si="14"/>
        <v>ES402ConformanceLabor</v>
      </c>
      <c r="E452" s="7">
        <v>1</v>
      </c>
      <c r="F452" t="str">
        <f t="shared" si="15"/>
        <v>E</v>
      </c>
    </row>
    <row r="453" spans="1:6">
      <c r="A453" s="4" t="s">
        <v>327</v>
      </c>
      <c r="B453" s="4" t="s">
        <v>114</v>
      </c>
      <c r="C453" s="4" t="s">
        <v>118</v>
      </c>
      <c r="D453" s="4" t="str">
        <f t="shared" si="14"/>
        <v>ES402PriorityLabor</v>
      </c>
      <c r="E453" s="7">
        <v>0</v>
      </c>
      <c r="F453" t="str">
        <f t="shared" si="15"/>
        <v>E</v>
      </c>
    </row>
    <row r="454" spans="1:6">
      <c r="A454" s="4" t="s">
        <v>327</v>
      </c>
      <c r="B454" s="4" t="s">
        <v>112</v>
      </c>
      <c r="C454" s="4" t="s">
        <v>118</v>
      </c>
      <c r="D454" s="4" t="str">
        <f t="shared" si="14"/>
        <v>ES402MajorLabor</v>
      </c>
      <c r="E454" s="7">
        <v>0.2</v>
      </c>
      <c r="F454" t="str">
        <f t="shared" si="15"/>
        <v>E</v>
      </c>
    </row>
    <row r="455" spans="1:6">
      <c r="A455" s="4" t="s">
        <v>327</v>
      </c>
      <c r="B455" s="4" t="s">
        <v>185</v>
      </c>
      <c r="C455" s="4" t="s">
        <v>118</v>
      </c>
      <c r="D455" s="4" t="str">
        <f t="shared" si="14"/>
        <v>ES402MinorLabor</v>
      </c>
      <c r="E455" s="7">
        <v>0.5</v>
      </c>
      <c r="F455" t="str">
        <f t="shared" si="15"/>
        <v>E</v>
      </c>
    </row>
    <row r="456" spans="1:6">
      <c r="A456" s="4" t="s">
        <v>327</v>
      </c>
      <c r="B456" s="4" t="s">
        <v>374</v>
      </c>
      <c r="C456" s="4" t="s">
        <v>118</v>
      </c>
      <c r="D456" s="4" t="str">
        <f t="shared" si="14"/>
        <v>ES402N/ALabor</v>
      </c>
      <c r="E456" s="7">
        <v>1</v>
      </c>
      <c r="F456" t="str">
        <f t="shared" si="15"/>
        <v>E</v>
      </c>
    </row>
    <row r="457" spans="1:6">
      <c r="A457" s="4" t="s">
        <v>331</v>
      </c>
      <c r="B457" s="4" t="s">
        <v>120</v>
      </c>
      <c r="C457" s="4" t="s">
        <v>118</v>
      </c>
      <c r="D457" s="4" t="str">
        <f t="shared" si="14"/>
        <v>ES403ConformanceLabor</v>
      </c>
      <c r="E457" s="7">
        <v>2</v>
      </c>
      <c r="F457" t="str">
        <f t="shared" si="15"/>
        <v>E</v>
      </c>
    </row>
    <row r="458" spans="1:6">
      <c r="A458" s="4" t="s">
        <v>331</v>
      </c>
      <c r="B458" s="4" t="s">
        <v>114</v>
      </c>
      <c r="C458" s="4" t="s">
        <v>118</v>
      </c>
      <c r="D458" s="4" t="str">
        <f t="shared" si="14"/>
        <v>ES403PriorityLabor</v>
      </c>
      <c r="E458" s="7">
        <v>0</v>
      </c>
      <c r="F458" t="str">
        <f t="shared" si="15"/>
        <v>E</v>
      </c>
    </row>
    <row r="459" spans="1:6">
      <c r="A459" s="4" t="s">
        <v>331</v>
      </c>
      <c r="B459" s="4" t="s">
        <v>112</v>
      </c>
      <c r="C459" s="4" t="s">
        <v>118</v>
      </c>
      <c r="D459" s="4" t="str">
        <f t="shared" si="14"/>
        <v>ES403MajorLabor</v>
      </c>
      <c r="E459" s="7">
        <v>0.5</v>
      </c>
      <c r="F459" t="str">
        <f t="shared" si="15"/>
        <v>E</v>
      </c>
    </row>
    <row r="460" spans="1:6">
      <c r="A460" s="4" t="s">
        <v>331</v>
      </c>
      <c r="B460" s="4" t="s">
        <v>185</v>
      </c>
      <c r="C460" s="4" t="s">
        <v>118</v>
      </c>
      <c r="D460" s="4" t="str">
        <f t="shared" si="14"/>
        <v>ES403MinorLabor</v>
      </c>
      <c r="E460" s="7">
        <v>1</v>
      </c>
      <c r="F460" t="str">
        <f t="shared" si="15"/>
        <v>E</v>
      </c>
    </row>
    <row r="461" spans="1:6">
      <c r="A461" s="4" t="s">
        <v>331</v>
      </c>
      <c r="B461" s="4" t="s">
        <v>374</v>
      </c>
      <c r="C461" s="4" t="s">
        <v>118</v>
      </c>
      <c r="D461" s="4" t="str">
        <f t="shared" si="14"/>
        <v>ES403N/ALabor</v>
      </c>
      <c r="E461" s="7">
        <v>2</v>
      </c>
      <c r="F461" t="str">
        <f t="shared" si="15"/>
        <v>E</v>
      </c>
    </row>
    <row r="462" spans="1:6">
      <c r="A462" s="4" t="s">
        <v>335</v>
      </c>
      <c r="B462" s="4" t="s">
        <v>120</v>
      </c>
      <c r="C462" s="4" t="s">
        <v>118</v>
      </c>
      <c r="D462" s="4" t="str">
        <f t="shared" si="14"/>
        <v>ES404ConformanceLabor</v>
      </c>
      <c r="E462" s="7">
        <v>2</v>
      </c>
      <c r="F462" t="str">
        <f t="shared" si="15"/>
        <v>E</v>
      </c>
    </row>
    <row r="463" spans="1:6">
      <c r="A463" s="4" t="s">
        <v>335</v>
      </c>
      <c r="B463" s="4" t="s">
        <v>114</v>
      </c>
      <c r="C463" s="4" t="s">
        <v>118</v>
      </c>
      <c r="D463" s="4" t="str">
        <f t="shared" si="14"/>
        <v>ES404PriorityLabor</v>
      </c>
      <c r="E463" s="7">
        <v>0</v>
      </c>
      <c r="F463" t="str">
        <f t="shared" si="15"/>
        <v>E</v>
      </c>
    </row>
    <row r="464" spans="1:6">
      <c r="A464" s="4" t="s">
        <v>335</v>
      </c>
      <c r="B464" s="4" t="s">
        <v>112</v>
      </c>
      <c r="C464" s="4" t="s">
        <v>118</v>
      </c>
      <c r="D464" s="4" t="str">
        <f t="shared" si="14"/>
        <v>ES404MajorLabor</v>
      </c>
      <c r="E464" s="7">
        <v>0.5</v>
      </c>
      <c r="F464" t="str">
        <f t="shared" si="15"/>
        <v>E</v>
      </c>
    </row>
    <row r="465" spans="1:6">
      <c r="A465" s="4" t="s">
        <v>335</v>
      </c>
      <c r="B465" s="4" t="s">
        <v>185</v>
      </c>
      <c r="C465" s="4" t="s">
        <v>118</v>
      </c>
      <c r="D465" s="4" t="str">
        <f t="shared" si="14"/>
        <v>ES404MinorLabor</v>
      </c>
      <c r="E465" s="7">
        <v>1</v>
      </c>
      <c r="F465" t="str">
        <f t="shared" si="15"/>
        <v>E</v>
      </c>
    </row>
    <row r="466" spans="1:6">
      <c r="A466" s="4" t="s">
        <v>335</v>
      </c>
      <c r="B466" s="4" t="s">
        <v>374</v>
      </c>
      <c r="C466" s="4" t="s">
        <v>118</v>
      </c>
      <c r="D466" s="4" t="str">
        <f t="shared" si="14"/>
        <v>ES404N/ALabor</v>
      </c>
      <c r="E466" s="7">
        <v>2</v>
      </c>
      <c r="F466" t="str">
        <f t="shared" si="15"/>
        <v>E</v>
      </c>
    </row>
  </sheetData>
  <autoFilter ref="A1:F466" xr:uid="{00000000-0001-0000-0400-000000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Company Profile</vt:lpstr>
      <vt:lpstr>General Information</vt:lpstr>
      <vt:lpstr>Checklist</vt:lpstr>
      <vt:lpstr>Reference table</vt:lpstr>
      <vt:lpstr>Table</vt:lpstr>
      <vt:lpstr>Checklist!Print_Area</vt:lpstr>
      <vt:lpstr>'General Information'!Print_Area</vt:lpstr>
      <vt:lpstr>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kiyung.park</dc:creator>
  <cp:lastModifiedBy>Tony</cp:lastModifiedBy>
  <cp:lastPrinted>2026-02-26T01:38:00Z</cp:lastPrinted>
  <dcterms:created xsi:type="dcterms:W3CDTF">2014-05-07T01:50:00Z</dcterms:created>
  <dcterms:modified xsi:type="dcterms:W3CDTF">2026-09-03T15:00:06Z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ICV">
    <vt:lpwstr>EB07D81F7C3D4F8D9865850BC791BDB4_13</vt:lpwstr>
  </property>
  <property fmtid="{D5CDD505-2E9C-101B-9397-08002B2CF9AE}" pid="4" name="KSOProductBuildVer">
    <vt:lpwstr>1033-12.1.0.25242</vt:lpwstr>
  </property>
  <property fmtid="{D5CDD505-2E9C-101B-9397-08002B2CF9AE}" pid="5" name="CalculationRule">
    <vt:i4>0</vt:i4>
  </property>
</Properties>
</file>